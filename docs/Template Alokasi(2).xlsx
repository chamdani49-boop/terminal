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d.docs.live.net/854e02a31c4cacda/Bisnis/"/>
    </mc:Choice>
  </mc:AlternateContent>
  <xr:revisionPtr revIDLastSave="225" documentId="8_{85E19E17-851A-40D9-B909-EE0C5777C3C9}" xr6:coauthVersionLast="47" xr6:coauthVersionMax="47" xr10:uidLastSave="{AEDAD4D0-E806-6442-81CB-28EE24E6C78F}"/>
  <bookViews>
    <workbookView xWindow="660" yWindow="1120" windowWidth="18620" windowHeight="17440" tabRatio="737" xr2:uid="{5B0174B3-4E82-4CE1-86C0-25AD0F870D71}"/>
  </bookViews>
  <sheets>
    <sheet name="Saham" sheetId="5" r:id="rId1"/>
    <sheet name="Alokasi"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5" l="1"/>
  <c r="B35" i="5"/>
  <c r="C3" i="5"/>
  <c r="C9" i="5"/>
  <c r="B9" i="5"/>
  <c r="C8" i="5"/>
  <c r="B8" i="5"/>
  <c r="L2" i="4"/>
  <c r="B2" i="5" l="1"/>
  <c r="D13" i="5"/>
  <c r="D8" i="5"/>
  <c r="B24" i="5"/>
  <c r="F2" i="4"/>
  <c r="O2" i="4"/>
  <c r="G2" i="4" s="1"/>
  <c r="C15" i="5" l="1"/>
  <c r="B10" i="5"/>
  <c r="B58" i="5" s="1"/>
  <c r="B44" i="5"/>
  <c r="B25" i="5"/>
  <c r="B11" i="5"/>
  <c r="B27" i="5" s="1"/>
  <c r="B22" i="5"/>
  <c r="C22" i="5" s="1"/>
  <c r="B33" i="5" s="1"/>
  <c r="B15" i="5"/>
  <c r="B43" i="5" s="1"/>
  <c r="P2" i="4"/>
  <c r="B26" i="5" l="1"/>
  <c r="B45" i="5"/>
  <c r="D15" i="5"/>
  <c r="B72" i="5"/>
  <c r="C10" i="5"/>
  <c r="C24" i="5"/>
  <c r="C2" i="5"/>
  <c r="C11" i="5"/>
  <c r="C27" i="5" s="1"/>
  <c r="D27" i="5" s="1"/>
  <c r="D11" i="5" l="1"/>
  <c r="B20" i="5" s="1"/>
  <c r="B71" i="5" s="1"/>
  <c r="B73" i="5" s="1"/>
  <c r="C26" i="5"/>
  <c r="D26" i="5" s="1"/>
  <c r="D10" i="5"/>
  <c r="C25" i="5"/>
  <c r="D25" i="5" s="1"/>
  <c r="D24" i="5"/>
  <c r="C45" i="5"/>
  <c r="B46" i="5"/>
  <c r="B18" i="5" l="1"/>
  <c r="B57" i="5" s="1"/>
  <c r="B59" i="5" s="1"/>
  <c r="B47" i="5"/>
  <c r="C46" i="5"/>
  <c r="C73" i="5"/>
  <c r="B74" i="5"/>
  <c r="C59" i="5" l="1"/>
  <c r="B60" i="5"/>
  <c r="B61" i="5" s="1"/>
  <c r="B75" i="5"/>
  <c r="C74" i="5"/>
  <c r="C47" i="5"/>
  <c r="B48" i="5"/>
  <c r="C60" i="5" l="1"/>
  <c r="B49" i="5"/>
  <c r="C48" i="5"/>
  <c r="C75" i="5"/>
  <c r="B76" i="5"/>
  <c r="C61" i="5"/>
  <c r="B62" i="5"/>
  <c r="B63" i="5" l="1"/>
  <c r="C63" i="5" s="1"/>
  <c r="C62" i="5"/>
  <c r="B77" i="5"/>
  <c r="C77" i="5" s="1"/>
  <c r="C76" i="5"/>
  <c r="C54" i="5"/>
  <c r="C49" i="5"/>
  <c r="C81" i="5" l="1"/>
  <c r="C67" i="5"/>
  <c r="B31" i="5" s="1"/>
  <c r="J2" i="4" l="1" a="1"/>
  <c r="J2" i="4" s="1"/>
  <c r="J3" i="4" a="1"/>
  <c r="J3" i="4" s="1"/>
  <c r="Y3" i="4" s="1"/>
  <c r="R2" i="4"/>
  <c r="F3" i="4"/>
  <c r="X3" i="4" s="1"/>
  <c r="L3" i="4"/>
  <c r="M3" i="4" s="1"/>
  <c r="O3" i="4"/>
  <c r="P3" i="4"/>
  <c r="Q3" i="4" s="1"/>
  <c r="N3" i="4" l="1"/>
  <c r="G3" i="4"/>
  <c r="H3" i="4" s="1"/>
  <c r="Y2" i="4" l="1"/>
  <c r="H2" i="4" l="1"/>
  <c r="S2" i="4"/>
  <c r="V3" i="4" s="1"/>
  <c r="Z3" i="4" s="1"/>
  <c r="M2" i="4"/>
  <c r="N2" i="4" s="1"/>
  <c r="X2" i="4"/>
  <c r="Q2" i="4" l="1"/>
  <c r="T2" i="4"/>
  <c r="U2" i="4" s="1"/>
  <c r="V2" i="4"/>
  <c r="Z2" i="4" s="1"/>
  <c r="C65" i="5" l="1"/>
  <c r="C66" i="5" s="1"/>
  <c r="C79" i="5"/>
  <c r="C80" i="5" s="1"/>
  <c r="C52" i="5"/>
  <c r="C68" i="5"/>
  <c r="C51" i="5"/>
  <c r="C53" i="5" s="1"/>
  <c r="C82" i="5"/>
  <c r="B34" i="5" l="1"/>
  <c r="B32" i="5" l="1"/>
  <c r="B37" i="5" l="1"/>
  <c r="B39" i="5"/>
  <c r="B38" i="5"/>
  <c r="B41" i="5"/>
  <c r="C37" i="5" s="1"/>
  <c r="B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Faza Ghani Aprianto</author>
  </authors>
  <commentList>
    <comment ref="A27" authorId="0" shapeId="0" xr:uid="{EE6C80E3-75F4-4577-81E0-FED37E6CD8BB}">
      <text>
        <r>
          <rPr>
            <b/>
            <sz val="9"/>
            <color indexed="81"/>
            <rFont val="Tahoma"/>
            <family val="2"/>
          </rPr>
          <t>Faza Ghani Aprianto:</t>
        </r>
        <r>
          <rPr>
            <sz val="9"/>
            <color indexed="81"/>
            <rFont val="Tahoma"/>
            <family val="2"/>
          </rPr>
          <t xml:space="preserve">
Normal 5-8</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<sst xmlns="http://schemas.openxmlformats.org/spreadsheetml/2006/main" count="120" uniqueCount="105">
  <si>
    <t>Emiten</t>
  </si>
  <si>
    <t>Bulan</t>
  </si>
  <si>
    <t>Shares (Akhir)</t>
  </si>
  <si>
    <t>G&amp;L</t>
  </si>
  <si>
    <t>Ratio</t>
  </si>
  <si>
    <t>Total Awal</t>
  </si>
  <si>
    <t>Total Akhir</t>
  </si>
  <si>
    <t>Total G&amp;L</t>
  </si>
  <si>
    <t>Ratio Total</t>
  </si>
  <si>
    <t>Agustus</t>
  </si>
  <si>
    <t>Ratio Alokasi</t>
  </si>
  <si>
    <t>Saldo Akhir</t>
  </si>
  <si>
    <t>Trailing S</t>
  </si>
  <si>
    <t>Avg. Price</t>
  </si>
  <si>
    <t>Avg. Value</t>
  </si>
  <si>
    <t>Real G/L</t>
  </si>
  <si>
    <t>Ratio Real (%)</t>
  </si>
  <si>
    <t>Dividen</t>
  </si>
  <si>
    <t>D. Yield</t>
  </si>
  <si>
    <t>TS. Status</t>
  </si>
  <si>
    <t>Actual Price</t>
  </si>
  <si>
    <t>Highest Price</t>
  </si>
  <si>
    <t>Closing Price (Month)</t>
  </si>
  <si>
    <t>Avg Price - TS</t>
  </si>
  <si>
    <t>Potential TS</t>
  </si>
  <si>
    <t>Jumlah Saham dipegang</t>
  </si>
  <si>
    <t>Rata-rata harga saham</t>
  </si>
  <si>
    <t>Value yg kita pegang</t>
  </si>
  <si>
    <t>Floating G&amp;L</t>
  </si>
  <si>
    <t>%keuntungan total</t>
  </si>
  <si>
    <t>Harga tertingg yang pernah dicapai saat memegang sahamnya</t>
  </si>
  <si>
    <t>Threshold saham dijual</t>
  </si>
  <si>
    <t>Keuntungan % kalau kena TS</t>
  </si>
  <si>
    <t>Keuntungan kalo kena TS</t>
  </si>
  <si>
    <t>Total Modal</t>
  </si>
  <si>
    <t>Market Cap (in million)</t>
  </si>
  <si>
    <t>Issued Shares (in mil)</t>
  </si>
  <si>
    <t>Last Price</t>
  </si>
  <si>
    <t>Additional Info</t>
  </si>
  <si>
    <t>Income Statement</t>
  </si>
  <si>
    <t>Pendapatan</t>
  </si>
  <si>
    <t>Profit</t>
  </si>
  <si>
    <t>EPS</t>
  </si>
  <si>
    <t>Sales per Shares</t>
  </si>
  <si>
    <t>Balance Sheet</t>
  </si>
  <si>
    <t>Equity (in mil)</t>
  </si>
  <si>
    <t>Key Value</t>
  </si>
  <si>
    <t>ROE (Annual)</t>
  </si>
  <si>
    <t>ROE (in 5 years)</t>
  </si>
  <si>
    <t>EPS Growth (5 years)</t>
  </si>
  <si>
    <t>EPS Growth (Annual)</t>
  </si>
  <si>
    <t>Sales Growth (5 years)</t>
  </si>
  <si>
    <t>Sales Growth (Annual)</t>
  </si>
  <si>
    <t>DPR (Dividen Payout Ratio)</t>
  </si>
  <si>
    <t>Est. Dividen - Yield</t>
  </si>
  <si>
    <t>Formula</t>
  </si>
  <si>
    <t>Book Value</t>
  </si>
  <si>
    <t>PBV</t>
  </si>
  <si>
    <t>PER</t>
  </si>
  <si>
    <t>P to Sales</t>
  </si>
  <si>
    <t>Notes</t>
  </si>
  <si>
    <t>%G&amp;L</t>
  </si>
  <si>
    <t>Future Value</t>
  </si>
  <si>
    <t>CAGR</t>
  </si>
  <si>
    <t>Combine</t>
  </si>
  <si>
    <t>Margin of Safety</t>
  </si>
  <si>
    <t>Tahun</t>
  </si>
  <si>
    <t>Potensi Price</t>
  </si>
  <si>
    <t>Potensi %GL</t>
  </si>
  <si>
    <t>ROE</t>
  </si>
  <si>
    <t>Kesimpulan RoE</t>
  </si>
  <si>
    <t>MoS (safety) 5y</t>
  </si>
  <si>
    <t>Ann (Ratio)</t>
  </si>
  <si>
    <t>Profit (5 years)</t>
  </si>
  <si>
    <t>Annual</t>
  </si>
  <si>
    <t>Simulasi Future EPS</t>
  </si>
  <si>
    <t>Kesimpulan EPS</t>
  </si>
  <si>
    <t>Simulasi Future Sales</t>
  </si>
  <si>
    <t>Sales p Share</t>
  </si>
  <si>
    <t>Kesimpulan Sales</t>
  </si>
  <si>
    <t>AVG PER</t>
  </si>
  <si>
    <t>AVG PSR</t>
  </si>
  <si>
    <t>Saldo Awal</t>
  </si>
  <si>
    <t>AVG PBV</t>
  </si>
  <si>
    <t>Dividen Yield</t>
  </si>
  <si>
    <t>Alokasi Status</t>
  </si>
  <si>
    <t>Dari market porto saat pertama kali diisi, kalau sudah jalan bisa update perbulan</t>
  </si>
  <si>
    <t>Harga penutupan di Bulan X</t>
  </si>
  <si>
    <t>Harga Real Time Saham</t>
  </si>
  <si>
    <t>Keuntungan di bulan X</t>
  </si>
  <si>
    <t>Dalam persentase</t>
  </si>
  <si>
    <t>Total porto awal</t>
  </si>
  <si>
    <t>Toal porto akhir</t>
  </si>
  <si>
    <t>Total keuntungan di bulan X</t>
  </si>
  <si>
    <t>Ratio masing2 saham</t>
  </si>
  <si>
    <t>Dividen di terima di bulan X</t>
  </si>
  <si>
    <t>Yield dari avg value</t>
  </si>
  <si>
    <t>Status kapan jual dari Trailing Stop</t>
  </si>
  <si>
    <t>Status cek dari Alokasi Dana</t>
  </si>
  <si>
    <t>POTENSI AKUMULASI</t>
  </si>
  <si>
    <t>Data terbaru</t>
  </si>
  <si>
    <t>Annual Tahun sebelumnya</t>
  </si>
  <si>
    <t>Annual 2025</t>
  </si>
  <si>
    <t>Annual 2024</t>
  </si>
  <si>
    <t>BMRI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</si>
</sst>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IDR]\ #,##0"/>
    <numFmt numFmtId="165" formatCode="[$IDR]\ #,##0.00"/>
    <numFmt numFmtId="166" formatCode="_(* #,##0_);_(* \(#,##0\);_(* &quot;-&quot;??_);_(@_)"/>
  </numFmts>
  <fonts count="9" x14ac:knownFonts="1">
    <font>
      <sz val="11"/>
      <color theme="1"/>
      <name val="Calibri"/>
      <family val="2"/>
      <scheme val="minor"/>
    </font>
    <font>
      <sz val="11"/>
      <color theme="1"/>
      <name val="Calibri"/>
      <family val="2"/>
      <scheme val="minor"/>
    </font>
    <font>
      <sz val="9"/>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sz val="10"/>
      <color theme="1"/>
      <name val="Arial"/>
      <family val="2"/>
    </font>
    <font>
      <b/>
      <sz val="9"/>
      <color indexed="81"/>
      <name val="Tahoma"/>
      <family val="2"/>
    </font>
    <font>
      <sz val="9"/>
      <color indexed="81"/>
      <name val="Tahoma"/>
      <family val="2"/>
    </font>
  </fonts>
  <fills count="24">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9"/>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rgb="FFC9DAF8"/>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8">
    <xf numFmtId="0" fontId="0" fillId="0" borderId="0" xfId="0"/>
    <xf numFmtId="0" fontId="0" fillId="0" borderId="0" xfId="0" applyAlignment="1">
      <alignment horizontal="center" vertical="center"/>
    </xf>
    <xf numFmtId="0" fontId="0" fillId="5" borderId="1" xfId="0" applyFill="1" applyBorder="1" applyAlignment="1">
      <alignment horizontal="center" vertical="center"/>
    </xf>
    <xf numFmtId="10" fontId="0" fillId="0" borderId="0" xfId="0" applyNumberFormat="1" applyAlignment="1">
      <alignment horizontal="center" vertical="center"/>
    </xf>
    <xf numFmtId="0" fontId="0" fillId="2" borderId="5" xfId="0" applyFill="1" applyBorder="1" applyAlignment="1">
      <alignment horizontal="center" vertical="center"/>
    </xf>
    <xf numFmtId="3" fontId="0" fillId="7" borderId="0" xfId="0" applyNumberFormat="1" applyFill="1" applyAlignment="1">
      <alignment horizontal="center" vertical="center"/>
    </xf>
    <xf numFmtId="0" fontId="0" fillId="6" borderId="0" xfId="0" applyFill="1" applyAlignment="1">
      <alignment horizontal="center" vertical="center"/>
    </xf>
    <xf numFmtId="3" fontId="0" fillId="6" borderId="0" xfId="0" applyNumberFormat="1" applyFill="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0" borderId="0" xfId="0" applyAlignment="1">
      <alignment horizontal="center" vertical="center" wrapText="1"/>
    </xf>
    <xf numFmtId="0" fontId="0" fillId="5" borderId="7" xfId="0" applyFill="1" applyBorder="1" applyAlignment="1">
      <alignment horizontal="center" vertical="center"/>
    </xf>
    <xf numFmtId="164" fontId="0" fillId="2" borderId="0" xfId="0" applyNumberFormat="1" applyFill="1" applyAlignment="1">
      <alignment horizontal="center" vertical="center"/>
    </xf>
    <xf numFmtId="0" fontId="0" fillId="2" borderId="0" xfId="0" applyFill="1" applyAlignment="1">
      <alignment horizontal="center" vertical="center"/>
    </xf>
    <xf numFmtId="10" fontId="0" fillId="2" borderId="0" xfId="0" applyNumberFormat="1" applyFill="1" applyAlignment="1">
      <alignment horizontal="center" vertical="center"/>
    </xf>
    <xf numFmtId="164" fontId="0" fillId="2" borderId="5" xfId="0" applyNumberFormat="1" applyFill="1" applyBorder="1" applyAlignment="1">
      <alignment horizontal="center" vertical="center"/>
    </xf>
    <xf numFmtId="165" fontId="0" fillId="0" borderId="0" xfId="0" applyNumberFormat="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2" borderId="7" xfId="0" applyFill="1" applyBorder="1" applyAlignment="1">
      <alignment horizontal="center" vertical="center"/>
    </xf>
    <xf numFmtId="10" fontId="0" fillId="2" borderId="7" xfId="0" applyNumberFormat="1" applyFill="1" applyBorder="1" applyAlignment="1">
      <alignment horizontal="center" vertical="center"/>
    </xf>
    <xf numFmtId="0" fontId="0" fillId="5" borderId="9" xfId="0" applyFill="1" applyBorder="1" applyAlignment="1">
      <alignment horizontal="center" vertical="center"/>
    </xf>
    <xf numFmtId="0" fontId="0" fillId="5" borderId="0" xfId="0" applyFill="1" applyAlignment="1">
      <alignment horizontal="center" vertical="center"/>
    </xf>
    <xf numFmtId="0" fontId="0" fillId="5" borderId="6" xfId="0" applyFill="1" applyBorder="1" applyAlignment="1">
      <alignment horizontal="center" vertical="center"/>
    </xf>
    <xf numFmtId="10" fontId="0" fillId="7" borderId="7" xfId="1" applyNumberFormat="1" applyFont="1" applyFill="1" applyBorder="1" applyAlignment="1">
      <alignment horizontal="center" vertical="center"/>
    </xf>
    <xf numFmtId="164" fontId="0" fillId="7" borderId="0" xfId="0" applyNumberFormat="1" applyFill="1" applyAlignment="1">
      <alignment horizontal="center" vertical="center"/>
    </xf>
    <xf numFmtId="164" fontId="0" fillId="4" borderId="0" xfId="0" applyNumberFormat="1" applyFill="1" applyAlignment="1">
      <alignment horizontal="center" vertical="center"/>
    </xf>
    <xf numFmtId="0" fontId="0" fillId="7" borderId="0" xfId="0" applyFill="1" applyAlignment="1">
      <alignment horizontal="center" vertical="center"/>
    </xf>
    <xf numFmtId="3" fontId="0" fillId="8" borderId="0" xfId="0" applyNumberFormat="1" applyFill="1" applyAlignment="1">
      <alignment horizontal="center" vertical="center"/>
    </xf>
    <xf numFmtId="0" fontId="2" fillId="7" borderId="5" xfId="0" applyFont="1" applyFill="1" applyBorder="1" applyAlignment="1">
      <alignment horizontal="center" vertical="center"/>
    </xf>
    <xf numFmtId="10" fontId="0" fillId="8" borderId="5" xfId="0" applyNumberFormat="1" applyFill="1" applyBorder="1" applyAlignment="1">
      <alignment horizontal="center" vertical="center"/>
    </xf>
    <xf numFmtId="0" fontId="2" fillId="5" borderId="3" xfId="0" applyFont="1" applyFill="1" applyBorder="1" applyAlignment="1">
      <alignment horizontal="center" vertical="center"/>
    </xf>
    <xf numFmtId="3" fontId="0" fillId="7" borderId="5" xfId="0" applyNumberFormat="1" applyFill="1" applyBorder="1" applyAlignment="1">
      <alignment horizontal="center" vertical="center"/>
    </xf>
    <xf numFmtId="0" fontId="0" fillId="6" borderId="0" xfId="0" applyFill="1" applyAlignment="1">
      <alignment horizontal="center" vertical="center" wrapText="1"/>
    </xf>
    <xf numFmtId="0" fontId="0" fillId="2" borderId="7" xfId="0" applyFill="1" applyBorder="1" applyAlignment="1">
      <alignment horizontal="center" vertical="center" wrapText="1"/>
    </xf>
    <xf numFmtId="0" fontId="0" fillId="7" borderId="0" xfId="0" applyFill="1" applyAlignment="1">
      <alignment horizontal="center" vertical="center" wrapText="1"/>
    </xf>
    <xf numFmtId="0" fontId="0" fillId="2" borderId="0" xfId="0" applyFill="1" applyAlignment="1">
      <alignment horizontal="center" vertical="center" wrapText="1"/>
    </xf>
    <xf numFmtId="164" fontId="0" fillId="2" borderId="7" xfId="0" applyNumberFormat="1" applyFill="1" applyBorder="1" applyAlignment="1">
      <alignment vertical="center" wrapText="1"/>
    </xf>
    <xf numFmtId="10" fontId="0" fillId="2" borderId="7" xfId="0" applyNumberFormat="1" applyFill="1" applyBorder="1" applyAlignment="1">
      <alignment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xf>
    <xf numFmtId="0" fontId="0" fillId="10" borderId="1" xfId="0" applyFill="1" applyBorder="1" applyAlignment="1">
      <alignment horizontal="center" vertical="center"/>
    </xf>
    <xf numFmtId="3" fontId="0" fillId="10" borderId="1" xfId="0" applyNumberFormat="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xf>
    <xf numFmtId="0" fontId="0" fillId="11" borderId="0" xfId="0" applyFill="1" applyAlignment="1">
      <alignment horizontal="center" vertical="center"/>
    </xf>
    <xf numFmtId="10" fontId="0" fillId="0" borderId="0" xfId="0" applyNumberFormat="1" applyAlignment="1">
      <alignment horizontal="center"/>
    </xf>
    <xf numFmtId="0" fontId="4" fillId="4" borderId="0" xfId="0" applyFont="1" applyFill="1" applyAlignment="1">
      <alignment horizontal="center" vertical="center"/>
    </xf>
    <xf numFmtId="0" fontId="0" fillId="9" borderId="0" xfId="0" applyFill="1" applyAlignment="1">
      <alignment horizontal="center" vertical="center"/>
    </xf>
    <xf numFmtId="0" fontId="0" fillId="7" borderId="1" xfId="0" applyFill="1" applyBorder="1" applyAlignment="1">
      <alignment horizontal="center" vertical="center"/>
    </xf>
    <xf numFmtId="3" fontId="0" fillId="12" borderId="1" xfId="0" applyNumberFormat="1" applyFill="1" applyBorder="1" applyAlignment="1">
      <alignment horizontal="center" vertical="center"/>
    </xf>
    <xf numFmtId="10" fontId="0" fillId="4" borderId="0" xfId="1" applyNumberFormat="1" applyFont="1" applyFill="1" applyAlignment="1">
      <alignment horizontal="center" vertical="center"/>
    </xf>
    <xf numFmtId="4" fontId="0" fillId="6" borderId="1" xfId="0" applyNumberFormat="1" applyFill="1" applyBorder="1" applyAlignment="1">
      <alignment horizontal="center" vertical="center"/>
    </xf>
    <xf numFmtId="10" fontId="0" fillId="9" borderId="0" xfId="1" applyNumberFormat="1" applyFont="1" applyFill="1" applyAlignment="1">
      <alignment horizontal="center" vertical="center"/>
    </xf>
    <xf numFmtId="0" fontId="4" fillId="13" borderId="0" xfId="0" applyFont="1" applyFill="1" applyAlignment="1">
      <alignment horizontal="center" vertical="center"/>
    </xf>
    <xf numFmtId="2" fontId="0" fillId="0" borderId="0" xfId="0" applyNumberFormat="1" applyAlignment="1">
      <alignment horizontal="center" vertical="center"/>
    </xf>
    <xf numFmtId="9" fontId="0" fillId="0" borderId="0" xfId="1" applyFont="1" applyAlignment="1">
      <alignment horizontal="center" vertical="center"/>
    </xf>
    <xf numFmtId="3" fontId="0" fillId="0" borderId="0" xfId="0" applyNumberFormat="1" applyAlignment="1">
      <alignment horizontal="center" vertical="center"/>
    </xf>
    <xf numFmtId="10" fontId="0" fillId="3" borderId="0" xfId="1" applyNumberFormat="1" applyFont="1" applyFill="1" applyAlignment="1">
      <alignment horizontal="center" vertical="center"/>
    </xf>
    <xf numFmtId="0" fontId="4" fillId="5" borderId="0" xfId="0" applyFont="1" applyFill="1" applyAlignment="1">
      <alignment horizontal="center" vertical="center"/>
    </xf>
    <xf numFmtId="10" fontId="0" fillId="10" borderId="1" xfId="1" applyNumberFormat="1" applyFont="1" applyFill="1" applyBorder="1" applyAlignment="1">
      <alignment horizontal="center" vertical="center"/>
    </xf>
    <xf numFmtId="0" fontId="0" fillId="4" borderId="1" xfId="0" applyFill="1" applyBorder="1" applyAlignment="1">
      <alignment horizontal="center" vertical="center"/>
    </xf>
    <xf numFmtId="2" fontId="0" fillId="7" borderId="1" xfId="2" applyNumberFormat="1" applyFont="1" applyFill="1" applyBorder="1" applyAlignment="1">
      <alignment horizontal="center"/>
    </xf>
    <xf numFmtId="10" fontId="0" fillId="8" borderId="1" xfId="1" applyNumberFormat="1" applyFont="1" applyFill="1" applyBorder="1" applyAlignment="1">
      <alignment horizontal="center"/>
    </xf>
    <xf numFmtId="0" fontId="0" fillId="14" borderId="1" xfId="0" applyFill="1" applyBorder="1" applyAlignment="1">
      <alignment horizontal="center" vertical="center"/>
    </xf>
    <xf numFmtId="3" fontId="0" fillId="6" borderId="1" xfId="0" applyNumberFormat="1" applyFill="1" applyBorder="1" applyAlignment="1">
      <alignment horizontal="center" vertical="center"/>
    </xf>
    <xf numFmtId="0" fontId="0" fillId="14" borderId="6" xfId="0" applyFill="1" applyBorder="1" applyAlignment="1">
      <alignment horizontal="center" vertical="center"/>
    </xf>
    <xf numFmtId="4" fontId="0" fillId="6" borderId="6" xfId="0" applyNumberFormat="1" applyFill="1" applyBorder="1" applyAlignment="1">
      <alignment horizontal="center" vertical="center"/>
    </xf>
    <xf numFmtId="10" fontId="0" fillId="0" borderId="0" xfId="1" applyNumberFormat="1" applyFont="1" applyFill="1" applyBorder="1" applyAlignment="1">
      <alignment horizontal="left" vertical="center"/>
    </xf>
    <xf numFmtId="10" fontId="0" fillId="0" borderId="0" xfId="1" applyNumberFormat="1" applyFont="1" applyAlignment="1">
      <alignment horizontal="center" vertical="center"/>
    </xf>
    <xf numFmtId="0" fontId="0" fillId="3" borderId="1" xfId="0" applyFill="1" applyBorder="1" applyAlignment="1">
      <alignment horizontal="center" vertical="center"/>
    </xf>
    <xf numFmtId="3" fontId="0" fillId="5" borderId="1" xfId="3" applyNumberFormat="1" applyFont="1" applyFill="1" applyBorder="1" applyAlignment="1">
      <alignment horizontal="center" vertical="center"/>
    </xf>
    <xf numFmtId="0" fontId="0" fillId="18" borderId="1" xfId="0" applyFill="1" applyBorder="1" applyAlignment="1">
      <alignment horizontal="center" vertical="center"/>
    </xf>
    <xf numFmtId="0" fontId="6" fillId="19" borderId="1" xfId="0" applyFont="1" applyFill="1" applyBorder="1" applyAlignment="1">
      <alignment horizontal="center" vertical="center" wrapText="1"/>
    </xf>
    <xf numFmtId="3" fontId="6" fillId="19" borderId="1" xfId="0" applyNumberFormat="1" applyFont="1" applyFill="1" applyBorder="1" applyAlignment="1">
      <alignment horizontal="center" vertical="center" wrapText="1"/>
    </xf>
    <xf numFmtId="0" fontId="0" fillId="0" borderId="1" xfId="0" applyBorder="1" applyAlignment="1">
      <alignment horizontal="center" vertical="center"/>
    </xf>
    <xf numFmtId="3" fontId="0" fillId="0" borderId="2" xfId="1" applyNumberFormat="1" applyFont="1" applyFill="1" applyBorder="1" applyAlignment="1">
      <alignment horizontal="center" vertical="center"/>
    </xf>
    <xf numFmtId="10" fontId="0" fillId="0" borderId="3" xfId="1" applyNumberFormat="1" applyFont="1" applyFill="1" applyBorder="1" applyAlignment="1">
      <alignment horizontal="center" vertical="center"/>
    </xf>
    <xf numFmtId="0" fontId="0" fillId="13" borderId="1" xfId="0" applyFill="1" applyBorder="1" applyAlignment="1">
      <alignment horizontal="center" vertical="center"/>
    </xf>
    <xf numFmtId="0" fontId="0" fillId="20" borderId="4" xfId="0" applyFill="1" applyBorder="1" applyAlignment="1">
      <alignment horizontal="center" vertical="center"/>
    </xf>
    <xf numFmtId="166" fontId="0" fillId="0" borderId="0" xfId="2" applyNumberFormat="1" applyFont="1" applyAlignment="1">
      <alignment horizontal="center" vertical="center"/>
    </xf>
    <xf numFmtId="0" fontId="0" fillId="20" borderId="5" xfId="0" applyFill="1" applyBorder="1" applyAlignment="1">
      <alignment horizontal="center" vertical="center"/>
    </xf>
    <xf numFmtId="2" fontId="0" fillId="17" borderId="1" xfId="0" applyNumberFormat="1" applyFill="1" applyBorder="1" applyAlignment="1">
      <alignment horizontal="center" vertical="center"/>
    </xf>
    <xf numFmtId="0" fontId="0" fillId="18" borderId="13" xfId="0" applyFill="1" applyBorder="1" applyAlignment="1">
      <alignment horizontal="center" vertical="center"/>
    </xf>
    <xf numFmtId="10" fontId="0" fillId="21" borderId="7" xfId="1" applyNumberFormat="1" applyFont="1" applyFill="1" applyBorder="1" applyAlignment="1">
      <alignment horizontal="center" vertical="center"/>
    </xf>
    <xf numFmtId="0" fontId="0" fillId="18" borderId="14" xfId="0" applyFill="1" applyBorder="1" applyAlignment="1">
      <alignment horizontal="center" vertical="center"/>
    </xf>
    <xf numFmtId="10" fontId="0" fillId="4" borderId="10" xfId="1" applyNumberFormat="1" applyFont="1" applyFill="1" applyBorder="1" applyAlignment="1">
      <alignment horizontal="center" vertical="center"/>
    </xf>
    <xf numFmtId="10" fontId="0" fillId="0" borderId="11" xfId="1" applyNumberFormat="1" applyFont="1" applyBorder="1" applyAlignment="1">
      <alignment horizontal="center" vertical="center"/>
    </xf>
    <xf numFmtId="0" fontId="0" fillId="22" borderId="0" xfId="0" applyFill="1" applyAlignment="1">
      <alignment horizontal="center" vertical="center"/>
    </xf>
    <xf numFmtId="10" fontId="0" fillId="22" borderId="0" xfId="1" applyNumberFormat="1" applyFont="1" applyFill="1" applyAlignment="1">
      <alignment horizontal="center" vertical="center"/>
    </xf>
    <xf numFmtId="3" fontId="0" fillId="13" borderId="1" xfId="0" applyNumberFormat="1" applyFill="1" applyBorder="1" applyAlignment="1">
      <alignment horizontal="center" vertical="center"/>
    </xf>
    <xf numFmtId="3" fontId="0" fillId="20" borderId="4" xfId="0" applyNumberFormat="1" applyFill="1" applyBorder="1" applyAlignment="1">
      <alignment horizontal="center" vertical="center"/>
    </xf>
    <xf numFmtId="3" fontId="0" fillId="20" borderId="0" xfId="0" applyNumberFormat="1" applyFill="1" applyAlignment="1">
      <alignment horizontal="center" vertical="center"/>
    </xf>
    <xf numFmtId="3" fontId="0" fillId="20" borderId="7" xfId="0" applyNumberFormat="1" applyFill="1" applyBorder="1" applyAlignment="1">
      <alignment horizontal="center" vertical="center"/>
    </xf>
    <xf numFmtId="3" fontId="0" fillId="20" borderId="5" xfId="0" applyNumberFormat="1" applyFill="1" applyBorder="1" applyAlignment="1">
      <alignment horizontal="center" vertical="center"/>
    </xf>
    <xf numFmtId="3" fontId="0" fillId="20" borderId="11" xfId="0" applyNumberFormat="1" applyFill="1" applyBorder="1" applyAlignment="1">
      <alignment horizontal="center" vertical="center"/>
    </xf>
    <xf numFmtId="4" fontId="0" fillId="17" borderId="1" xfId="0" applyNumberFormat="1" applyFill="1" applyBorder="1" applyAlignment="1">
      <alignment horizontal="center" vertical="center"/>
    </xf>
    <xf numFmtId="0" fontId="0" fillId="18" borderId="0" xfId="0" applyFill="1" applyAlignment="1">
      <alignment horizontal="center" vertical="center"/>
    </xf>
    <xf numFmtId="10" fontId="0" fillId="4" borderId="0" xfId="0" applyNumberFormat="1" applyFill="1" applyAlignment="1">
      <alignment horizontal="center" vertical="center"/>
    </xf>
    <xf numFmtId="10" fontId="0" fillId="16" borderId="0" xfId="0" applyNumberFormat="1" applyFill="1" applyAlignment="1">
      <alignment horizontal="center" vertical="center"/>
    </xf>
    <xf numFmtId="10" fontId="0" fillId="6" borderId="0" xfId="1" applyNumberFormat="1" applyFont="1" applyFill="1" applyAlignment="1">
      <alignment horizontal="center" vertical="center"/>
    </xf>
    <xf numFmtId="10" fontId="0" fillId="21" borderId="0" xfId="1" applyNumberFormat="1" applyFont="1" applyFill="1" applyAlignment="1">
      <alignment horizontal="center" vertical="center"/>
    </xf>
    <xf numFmtId="10" fontId="0" fillId="0" borderId="0" xfId="1" applyNumberFormat="1" applyFont="1" applyFill="1" applyAlignment="1">
      <alignment horizontal="center" vertical="center"/>
    </xf>
    <xf numFmtId="3" fontId="0" fillId="20" borderId="12" xfId="0" applyNumberFormat="1" applyFill="1" applyBorder="1" applyAlignment="1">
      <alignment horizontal="center" vertical="center"/>
    </xf>
    <xf numFmtId="0" fontId="0" fillId="6" borderId="1" xfId="0" applyFill="1" applyBorder="1" applyAlignment="1">
      <alignment horizontal="center" vertical="center"/>
    </xf>
    <xf numFmtId="0" fontId="4" fillId="15" borderId="1" xfId="0" applyFont="1" applyFill="1" applyBorder="1" applyAlignment="1">
      <alignment horizontal="center" vertical="center"/>
    </xf>
    <xf numFmtId="0" fontId="0" fillId="0" borderId="0" xfId="0" applyAlignment="1">
      <alignment horizontal="left" vertical="top"/>
    </xf>
    <xf numFmtId="0" fontId="0" fillId="13" borderId="2" xfId="0" applyFill="1" applyBorder="1" applyAlignment="1">
      <alignment horizontal="center" vertical="center"/>
    </xf>
    <xf numFmtId="0" fontId="0" fillId="13" borderId="9" xfId="0" applyFill="1" applyBorder="1" applyAlignment="1">
      <alignment horizontal="center" vertical="center"/>
    </xf>
    <xf numFmtId="0" fontId="0" fillId="13" borderId="3" xfId="0" applyFill="1" applyBorder="1" applyAlignment="1">
      <alignment horizontal="center" vertical="center"/>
    </xf>
    <xf numFmtId="10" fontId="0" fillId="18" borderId="2" xfId="0" applyNumberFormat="1" applyFill="1" applyBorder="1" applyAlignment="1">
      <alignment horizontal="center" vertical="center"/>
    </xf>
    <xf numFmtId="10" fontId="0" fillId="18" borderId="3" xfId="0" applyNumberFormat="1" applyFill="1" applyBorder="1" applyAlignment="1">
      <alignment horizontal="center" vertical="center"/>
    </xf>
    <xf numFmtId="3" fontId="0" fillId="13" borderId="2" xfId="0" applyNumberFormat="1" applyFill="1" applyBorder="1" applyAlignment="1">
      <alignment horizontal="center" vertical="center"/>
    </xf>
    <xf numFmtId="3" fontId="0" fillId="13" borderId="3" xfId="0" applyNumberFormat="1" applyFill="1" applyBorder="1" applyAlignment="1">
      <alignment horizontal="center" vertical="center"/>
    </xf>
    <xf numFmtId="0" fontId="0" fillId="3" borderId="8" xfId="0" applyFill="1" applyBorder="1"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0" xfId="0" applyFill="1" applyBorder="1" applyAlignment="1">
      <alignment horizontal="center" vertical="center"/>
    </xf>
    <xf numFmtId="10" fontId="0" fillId="8" borderId="6" xfId="1" applyNumberFormat="1" applyFont="1" applyFill="1" applyBorder="1" applyAlignment="1">
      <alignment horizontal="center" vertical="center"/>
    </xf>
    <xf numFmtId="10" fontId="0" fillId="8" borderId="7" xfId="1" applyNumberFormat="1" applyFont="1" applyFill="1" applyBorder="1" applyAlignment="1">
      <alignment horizontal="center" vertical="center"/>
    </xf>
    <xf numFmtId="10" fontId="0" fillId="8" borderId="10" xfId="1" applyNumberFormat="1" applyFont="1" applyFill="1" applyBorder="1" applyAlignment="1">
      <alignment horizontal="center" vertical="center"/>
    </xf>
    <xf numFmtId="10" fontId="0" fillId="13" borderId="2" xfId="0" applyNumberFormat="1" applyFill="1" applyBorder="1" applyAlignment="1">
      <alignment horizontal="center" vertical="center"/>
    </xf>
    <xf numFmtId="10" fontId="0" fillId="13" borderId="3" xfId="0" applyNumberFormat="1" applyFill="1" applyBorder="1" applyAlignment="1">
      <alignment horizontal="center" vertical="center"/>
    </xf>
    <xf numFmtId="10" fontId="0" fillId="7" borderId="2" xfId="0" applyNumberFormat="1" applyFill="1" applyBorder="1" applyAlignment="1">
      <alignment horizontal="center" vertical="center"/>
    </xf>
    <xf numFmtId="10" fontId="0" fillId="7" borderId="3" xfId="0" applyNumberFormat="1" applyFill="1" applyBorder="1" applyAlignment="1">
      <alignment horizontal="center" vertical="center"/>
    </xf>
    <xf numFmtId="10" fontId="0" fillId="23" borderId="2" xfId="1" applyNumberFormat="1" applyFont="1" applyFill="1" applyBorder="1" applyAlignment="1">
      <alignment horizontal="center" vertical="center"/>
    </xf>
    <xf numFmtId="10" fontId="0" fillId="23" borderId="3" xfId="1" applyNumberFormat="1" applyFont="1" applyFill="1" applyBorder="1" applyAlignment="1">
      <alignment horizontal="center" vertical="center"/>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10" fontId="0" fillId="10" borderId="1" xfId="0" applyNumberFormat="1" applyFill="1" applyBorder="1" applyAlignment="1">
      <alignment horizontal="center" vertical="center"/>
    </xf>
    <xf numFmtId="10" fontId="0" fillId="4" borderId="2" xfId="0" applyNumberFormat="1" applyFill="1" applyBorder="1" applyAlignment="1">
      <alignment horizontal="center" vertical="center"/>
    </xf>
    <xf numFmtId="10" fontId="0" fillId="4" borderId="3" xfId="0" applyNumberFormat="1" applyFill="1" applyBorder="1" applyAlignment="1">
      <alignment horizontal="center" vertical="center"/>
    </xf>
    <xf numFmtId="0" fontId="0" fillId="3" borderId="8" xfId="0" applyFill="1" applyBorder="1" applyAlignment="1">
      <alignment horizontal="center" vertical="center" wrapText="1"/>
    </xf>
    <xf numFmtId="0" fontId="0" fillId="3" borderId="0" xfId="0" applyFill="1" applyAlignment="1">
      <alignment horizontal="center" vertical="center" wrapText="1"/>
    </xf>
    <xf numFmtId="164" fontId="0" fillId="2" borderId="6" xfId="0" applyNumberFormat="1" applyFill="1" applyBorder="1" applyAlignment="1">
      <alignment horizontal="center" vertical="center"/>
    </xf>
    <xf numFmtId="164" fontId="0" fillId="2" borderId="7" xfId="0" applyNumberFormat="1" applyFill="1" applyBorder="1" applyAlignment="1">
      <alignment horizontal="center" vertical="center"/>
    </xf>
    <xf numFmtId="10" fontId="0" fillId="2" borderId="6" xfId="0" applyNumberFormat="1" applyFill="1" applyBorder="1" applyAlignment="1">
      <alignment horizontal="center" vertical="center"/>
    </xf>
    <xf numFmtId="10" fontId="0" fillId="2" borderId="7" xfId="0" applyNumberFormat="1" applyFill="1" applyBorder="1" applyAlignment="1">
      <alignment horizontal="center" vertical="center"/>
    </xf>
    <xf numFmtId="0" fontId="0" fillId="10" borderId="2" xfId="0" applyFill="1" applyBorder="1" applyAlignment="1">
      <alignment horizontal="center" vertical="center"/>
    </xf>
    <xf numFmtId="0" fontId="0" fillId="10" borderId="3" xfId="0" applyFill="1" applyBorder="1" applyAlignment="1">
      <alignment horizontal="center" vertical="center"/>
    </xf>
    <xf numFmtId="10" fontId="0" fillId="16" borderId="2" xfId="1" applyNumberFormat="1" applyFont="1" applyFill="1" applyBorder="1" applyAlignment="1">
      <alignment horizontal="center" vertical="center"/>
    </xf>
    <xf numFmtId="10" fontId="0" fillId="16" borderId="3" xfId="1" applyNumberFormat="1" applyFont="1" applyFill="1" applyBorder="1" applyAlignment="1">
      <alignment horizontal="center" vertical="center"/>
    </xf>
    <xf numFmtId="0" fontId="0" fillId="17" borderId="1" xfId="0" applyFill="1" applyBorder="1" applyAlignment="1">
      <alignment horizontal="center" vertical="center"/>
    </xf>
    <xf numFmtId="10" fontId="0" fillId="7" borderId="2" xfId="1" applyNumberFormat="1" applyFont="1" applyFill="1" applyBorder="1" applyAlignment="1">
      <alignment horizontal="center" vertical="center"/>
    </xf>
    <xf numFmtId="10" fontId="0" fillId="7" borderId="3" xfId="1" applyNumberFormat="1" applyFont="1" applyFill="1" applyBorder="1" applyAlignment="1">
      <alignment horizontal="center" vertical="center"/>
    </xf>
    <xf numFmtId="3" fontId="0" fillId="2" borderId="2" xfId="0" applyNumberFormat="1" applyFill="1" applyBorder="1" applyAlignment="1">
      <alignment horizontal="center" vertical="center"/>
    </xf>
    <xf numFmtId="3" fontId="0" fillId="2" borderId="3" xfId="0" applyNumberFormat="1" applyFill="1" applyBorder="1" applyAlignment="1">
      <alignment horizontal="center" vertical="center"/>
    </xf>
  </cellXfs>
  <cellStyles count="4">
    <cellStyle name="Comma" xfId="2" builtinId="3"/>
    <cellStyle name="Comma [0]" xfId="3" builtinId="6"/>
    <cellStyle name="Normal" xfId="0" builtinId="0"/>
    <cellStyle name="Percent" xfId="1" builtinId="5"/>
  </cellStyles>
  <dxfs count="0"/>
  <tableStyles count="0" defaultTableStyle="TableStyleMedium2" defaultPivotStyle="PivotStyleLight16"/>
  <colors>
    <mruColors>
      <color rgb="FFFF9999"/>
      <color rgb="FFF9D1DD"/>
      <color rgb="FFFC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1"/>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https://www.bing.com/financeapi/forcetrigger?t=bn939c&amp;q=XIDX%3aBMRI&amp;form=skydnc</v>
    <v>Learn more on Bing</v>
  </rv>
  <rv s="1">
    <v>0</v>
    <v>PT Bank Mandiri (Persero) Tbk (XIDX:BMRI)</v>
    <v>2</v>
    <v>3</v>
    <v>Finance</v>
    <v>4</v>
    <v>en-ID</v>
    <v>bn939c</v>
    <v>268435456</v>
    <v>1</v>
    <v>Powered by Refinitiv</v>
    <v>5575</v>
    <v>4010</v>
    <v>1.3280000000000001</v>
    <v>-75</v>
    <v>-1.3953E-2</v>
    <v>IDR</v>
    <v>PT Bank Mandiri (Persero) Tbk (the Bank) is an Indonesia-based company, which engages in banking activities. The Bank's segments are Corporate Banking, Commercial Banking, Government Institution, Retail Banking, and Treasury and International Banking. The Corporate Banking segment includes loans, customer deposits, and other transactions for corporate customers. The Commercial Banking segment includes loans for the medium-scale and automotive sector, customer deposits, and other transactions for commercial customers. The Government Institution segment provides loans, customer deposits, and other transactions for government entities and pension plans of state-owned enterprises. The Treasury and International Banking segment includes foreign exchange, money market, fixed income, international banking business, and capital markets. Its geographical segments are Indonesia, Asia (Singapore, Timor-Leste, Hong Kong, Shanghai, Malaysia), Western Europe (United Kingdom), and the Cayman Islands.</v>
    <v>38751</v>
    <v>Indonesia Stock Exchange</v>
    <v>XIDX</v>
    <v>XIDX</v>
    <v>Menara Mandiri, Jalan Jenderal Sudirman Kav 54-55, JAKARTA, DKI JAKARTA, 12190 ID</v>
    <v>5375</v>
    <v>Banking Services</v>
    <v>Stock</v>
    <v>46078.385416666664</v>
    <v>0</v>
    <v>5300</v>
    <v>496650000000000</v>
    <v>PT Bank Mandiri (Persero) Tbk</v>
    <v>PT Bank Mandiri (Persero) Tbk</v>
    <v>5350</v>
    <v>5375</v>
    <v>5300</v>
    <v>92400000000</v>
    <v>BMRI</v>
    <v>PT Bank Mandiri (Persero) Tbk (XIDX:BMRI)</v>
    <v>147700600</v>
    <v>163361276.2712</v>
    <v>1998</v>
  </rv>
  <rv s="2">
    <v>1</v>
  </rv>
  <rv s="0">
    <v>https://www.bing.com/financeapi/forcetrigger?t=bn9i4c&amp;q=XIDX%3aPTBA&amp;form=skydnc</v>
    <v>Learn more on Bing</v>
  </rv>
  <rv s="1">
    <v>0</v>
    <v>PT Bukit Asam Tbk (XIDX:PTBA)</v>
    <v>2</v>
    <v>3</v>
    <v>Finance</v>
    <v>4</v>
    <v>en-ID</v>
    <v>bn9i4c</v>
    <v>268435456</v>
    <v>1</v>
    <v>Powered by Refinitiv</v>
    <v>3070</v>
    <v>2170</v>
    <v>0.86760000000000004</v>
    <v>40</v>
    <v>1.5443999999999999E-2</v>
    <v>IDR</v>
    <v>PT Bukit Asam Tbk is an Indonesia-based company engaged in coal mining and related activities. It engages in general surveying, exploration, exploitation, processing, refining, transportation and trading, and management of special coal port facilities. Its segments include coal segment and other segments. The coal segment includes general research activities, exploration, exploitation, processing, refining, transportation and trading, maintenance of special coal dock facilities for internal interests and other parties, and operation of steam power plants for internal interests and other parties. It covers an area of approximately 68,777 hectares (Ha) spread across several locations in the provinces of South Sumatra, West Sumatra, and Riau. The other segment includes contractor services, briquette processing, oil palm plantations, palm oil processing, and health services. Its subsidiaries include PT Batubara Bukit Kendi, PT Bukit Asam Prima, PT Internasional Prima Coal, among others.</v>
    <v>1649</v>
    <v>Indonesia Stock Exchange</v>
    <v>XIDX</v>
    <v>XIDX</v>
    <v>Jl. Parigi No. 1, Tanjung Enim, Muara Enim, PALEMBANG, SUMATERA SELATAN, 31716 ID</v>
    <v>2630</v>
    <v>Coal</v>
    <v>Stock</v>
    <v>46078.385416666664</v>
    <v>3</v>
    <v>2600</v>
    <v>29838510000000</v>
    <v>PT Bukit Asam Tbk</v>
    <v>PT Bukit Asam Tbk</v>
    <v>2620</v>
    <v>2590</v>
    <v>2630</v>
    <v>11520660000</v>
    <v>PTBA</v>
    <v>PT Bukit Asam Tbk (XIDX:PTBA)</v>
    <v>11896300</v>
    <v>17051259.322000001</v>
    <v>1985</v>
  </rv>
  <rv s="2">
    <v>4</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 hh:mm"/>
    </x:dxf>
    <x:dxf>
      <x:numFmt numFmtId="1" formatCode="0"/>
    </x:dxf>
    <x:dxf>
      <x:numFmt numFmtId="2" formatCode="0.00"/>
    </x:dxf>
  </dxfs>
  <richProperties>
    <rPr n="NumberFormat" t="s"/>
    <rPr n="IsTitleField" t="b"/>
  </richProperties>
  <richStyles>
    <rSty dxfid="0">
      <rpv i="0">_([$Rp-en-ID]* #,##0.00_);_([$Rp-en-ID]* (#,##0.00);_([$Rp-en-ID]* "-"??_);_(@_)</rpv>
    </rSty>
    <rSty dxfid="1">
      <rpv i="0">#,##0.00</rpv>
    </rSty>
    <rSty>
      <rpv i="1">1</rpv>
    </rSty>
    <rSty dxfid="2">
      <rpv i="0">#,##0</rpv>
    </rSty>
    <rSty dxfid="3"/>
    <rSty dxfid="0">
      <rpv i="0">_([$Rp-en-ID]* #,##0_);_([$Rp-en-ID]* (#,##0);_([$Rp-en-ID]* "-"_);_(@_)</rpv>
    </rSty>
    <rSty dxfid="4"/>
    <rSty dxfid="5">
      <rpv i="0">0</rpv>
    </rSty>
    <rSty dxfid="6">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1860-5C73-4D18-A365-6748BAFA3EE9}">
  <dimension ref="A1:D83"/>
  <sheetViews>
    <sheetView tabSelected="1" workbookViewId="0">
      <pane ySplit="1" topLeftCell="A2" activePane="bottomLeft" state="frozen"/>
      <selection pane="bottomLeft" activeCell="D4" sqref="D4"/>
    </sheetView>
  </sheetViews>
  <sheetFormatPr baseColWidth="10" defaultColWidth="8.83203125" defaultRowHeight="15" x14ac:dyDescent="0.2"/>
  <cols>
    <col min="1" max="1" width="25.5" style="1" bestFit="1" customWidth="1"/>
    <col min="2" max="2" width="15.6640625" style="1" customWidth="1"/>
    <col min="3" max="3" width="16.1640625" style="1" customWidth="1"/>
    <col min="4" max="4" width="12.5" style="1" customWidth="1"/>
  </cols>
  <sheetData>
    <row r="1" spans="1:4" ht="21" customHeight="1" x14ac:dyDescent="0.2">
      <c r="A1" s="40" t="s">
        <v>0</v>
      </c>
      <c r="B1" s="128" t="s">
        <v>104</v>
      </c>
      <c r="C1" s="129"/>
      <c r="D1" s="57"/>
    </row>
    <row r="2" spans="1:4" x14ac:dyDescent="0.2">
      <c r="A2" s="41" t="s">
        <v>35</v>
      </c>
      <c r="B2" s="42">
        <f>B3*B4</f>
        <v>608989580</v>
      </c>
      <c r="C2" s="42">
        <f>C3*C4</f>
        <v>605328320</v>
      </c>
    </row>
    <row r="3" spans="1:4" x14ac:dyDescent="0.2">
      <c r="A3" s="41" t="s">
        <v>36</v>
      </c>
      <c r="B3" s="42">
        <v>122042</v>
      </c>
      <c r="C3" s="42">
        <f>B3</f>
        <v>122042</v>
      </c>
    </row>
    <row r="4" spans="1:4" x14ac:dyDescent="0.2">
      <c r="A4" s="41" t="s">
        <v>37</v>
      </c>
      <c r="B4" s="42">
        <v>4990</v>
      </c>
      <c r="C4" s="42">
        <v>4960</v>
      </c>
    </row>
    <row r="5" spans="1:4" x14ac:dyDescent="0.2">
      <c r="A5" s="43"/>
      <c r="B5" s="44"/>
    </row>
    <row r="6" spans="1:4" x14ac:dyDescent="0.2">
      <c r="A6" s="45" t="s">
        <v>38</v>
      </c>
      <c r="B6" s="46" t="s">
        <v>102</v>
      </c>
      <c r="C6" s="46" t="s">
        <v>103</v>
      </c>
    </row>
    <row r="7" spans="1:4" x14ac:dyDescent="0.2">
      <c r="A7" s="47" t="s">
        <v>39</v>
      </c>
      <c r="B7" s="48" t="s">
        <v>100</v>
      </c>
      <c r="C7" s="106" t="s">
        <v>101</v>
      </c>
    </row>
    <row r="8" spans="1:4" x14ac:dyDescent="0.2">
      <c r="A8" s="49" t="s">
        <v>40</v>
      </c>
      <c r="B8" s="50">
        <f>126.87*1000000</f>
        <v>126870000</v>
      </c>
      <c r="C8" s="50">
        <f>121.06*1000000</f>
        <v>121060000</v>
      </c>
      <c r="D8" s="51">
        <f>(B8-C8)/C8</f>
        <v>4.799273087725095E-2</v>
      </c>
    </row>
    <row r="9" spans="1:4" x14ac:dyDescent="0.2">
      <c r="A9" s="49" t="s">
        <v>41</v>
      </c>
      <c r="B9" s="50">
        <f>57.54*1000000</f>
        <v>57540000</v>
      </c>
      <c r="C9" s="50">
        <f>54.84*1000000</f>
        <v>54840000</v>
      </c>
    </row>
    <row r="10" spans="1:4" x14ac:dyDescent="0.2">
      <c r="A10" s="41" t="s">
        <v>42</v>
      </c>
      <c r="B10" s="52">
        <f>B9/B3</f>
        <v>471.47703249700925</v>
      </c>
      <c r="C10" s="52">
        <f>C9/C3</f>
        <v>449.35350125366676</v>
      </c>
      <c r="D10" s="53">
        <f>(B10-C10)/C10</f>
        <v>4.9234135667396123E-2</v>
      </c>
    </row>
    <row r="11" spans="1:4" x14ac:dyDescent="0.2">
      <c r="A11" s="41" t="s">
        <v>43</v>
      </c>
      <c r="B11" s="52">
        <f>B8/B3</f>
        <v>1039.5601514232806</v>
      </c>
      <c r="C11" s="52">
        <f>C8/C3</f>
        <v>991.95358974779174</v>
      </c>
      <c r="D11" s="53">
        <f>(B11-C11)/C11</f>
        <v>4.7992730877251005E-2</v>
      </c>
    </row>
    <row r="12" spans="1:4" x14ac:dyDescent="0.2">
      <c r="A12" s="54" t="s">
        <v>44</v>
      </c>
      <c r="B12" s="55"/>
      <c r="C12" s="56"/>
      <c r="D12" s="57"/>
    </row>
    <row r="13" spans="1:4" x14ac:dyDescent="0.2">
      <c r="A13" s="41" t="s">
        <v>45</v>
      </c>
      <c r="B13" s="42">
        <v>301337494</v>
      </c>
      <c r="C13" s="42">
        <v>287494962</v>
      </c>
      <c r="D13" s="53">
        <f>(B13-C13)/C13</f>
        <v>4.8148781125423687E-2</v>
      </c>
    </row>
    <row r="14" spans="1:4" x14ac:dyDescent="0.2">
      <c r="A14" s="59" t="s">
        <v>46</v>
      </c>
      <c r="D14" s="57"/>
    </row>
    <row r="15" spans="1:4" x14ac:dyDescent="0.2">
      <c r="A15" s="41" t="s">
        <v>47</v>
      </c>
      <c r="B15" s="60">
        <f>B9/B13</f>
        <v>0.1909486909053541</v>
      </c>
      <c r="C15" s="60">
        <f>C9/C13</f>
        <v>0.19075116871091466</v>
      </c>
      <c r="D15" s="51">
        <f>(B15-C15)/C15</f>
        <v>1.0354966408556543E-3</v>
      </c>
    </row>
    <row r="16" spans="1:4" x14ac:dyDescent="0.2">
      <c r="A16" s="41" t="s">
        <v>48</v>
      </c>
      <c r="B16" s="130">
        <v>0.16039999999999999</v>
      </c>
      <c r="C16" s="130"/>
    </row>
    <row r="17" spans="1:4" x14ac:dyDescent="0.2">
      <c r="A17" s="61" t="s">
        <v>49</v>
      </c>
      <c r="B17" s="131">
        <v>0.155</v>
      </c>
      <c r="C17" s="132"/>
    </row>
    <row r="18" spans="1:4" x14ac:dyDescent="0.2">
      <c r="A18" s="61" t="s">
        <v>50</v>
      </c>
      <c r="B18" s="131">
        <f>D10</f>
        <v>4.9234135667396123E-2</v>
      </c>
      <c r="C18" s="132"/>
      <c r="D18" s="102"/>
    </row>
    <row r="19" spans="1:4" x14ac:dyDescent="0.2">
      <c r="A19" s="49" t="s">
        <v>51</v>
      </c>
      <c r="B19" s="124">
        <v>7.9100000000000004E-2</v>
      </c>
      <c r="C19" s="125"/>
    </row>
    <row r="20" spans="1:4" x14ac:dyDescent="0.2">
      <c r="A20" s="49" t="s">
        <v>52</v>
      </c>
      <c r="B20" s="124">
        <f>D11</f>
        <v>4.7992730877251005E-2</v>
      </c>
      <c r="C20" s="125"/>
      <c r="D20" s="102"/>
    </row>
    <row r="21" spans="1:4" x14ac:dyDescent="0.2">
      <c r="A21" s="49" t="s">
        <v>53</v>
      </c>
      <c r="B21" s="124">
        <v>0.55000000000000004</v>
      </c>
      <c r="C21" s="125"/>
    </row>
    <row r="22" spans="1:4" x14ac:dyDescent="0.2">
      <c r="A22" s="49" t="s">
        <v>54</v>
      </c>
      <c r="B22" s="62">
        <f>B21*B9/B3</f>
        <v>259.31236787335513</v>
      </c>
      <c r="C22" s="63">
        <f>B22/B4</f>
        <v>5.1966406387445915E-2</v>
      </c>
    </row>
    <row r="23" spans="1:4" x14ac:dyDescent="0.2">
      <c r="A23" s="59" t="s">
        <v>55</v>
      </c>
      <c r="D23" s="57"/>
    </row>
    <row r="24" spans="1:4" x14ac:dyDescent="0.2">
      <c r="A24" s="64" t="s">
        <v>56</v>
      </c>
      <c r="B24" s="65">
        <f>B13/B3</f>
        <v>2469.129430851674</v>
      </c>
      <c r="C24" s="65">
        <f>C13/C3</f>
        <v>2355.7051015224265</v>
      </c>
      <c r="D24" s="53">
        <f>(B24-C24)/C24</f>
        <v>4.8148781125423763E-2</v>
      </c>
    </row>
    <row r="25" spans="1:4" x14ac:dyDescent="0.2">
      <c r="A25" s="64" t="s">
        <v>57</v>
      </c>
      <c r="B25" s="52">
        <f>B4/B24</f>
        <v>2.0209552150851828</v>
      </c>
      <c r="C25" s="52">
        <f>C4/C24</f>
        <v>2.1055267048470925</v>
      </c>
      <c r="D25" s="58">
        <f>(B25-C25)/C25</f>
        <v>-4.0166429410379477E-2</v>
      </c>
    </row>
    <row r="26" spans="1:4" x14ac:dyDescent="0.2">
      <c r="A26" s="66" t="s">
        <v>58</v>
      </c>
      <c r="B26" s="67">
        <f>B4/B10</f>
        <v>10.583760514424748</v>
      </c>
      <c r="C26" s="67">
        <f>C4/C10</f>
        <v>11.038080233406273</v>
      </c>
      <c r="D26" s="58">
        <f>(B26-C26)/C26</f>
        <v>-4.1159305728413344E-2</v>
      </c>
    </row>
    <row r="27" spans="1:4" x14ac:dyDescent="0.2">
      <c r="A27" s="66" t="s">
        <v>59</v>
      </c>
      <c r="B27" s="67">
        <f>B4/B11</f>
        <v>4.8001070387010323</v>
      </c>
      <c r="C27" s="67">
        <f>C4/C11</f>
        <v>5.0002339335866512</v>
      </c>
      <c r="D27" s="58">
        <f>(B27-C27)/C27</f>
        <v>-4.0023506408642884E-2</v>
      </c>
    </row>
    <row r="28" spans="1:4" x14ac:dyDescent="0.2">
      <c r="A28" s="43" t="s">
        <v>60</v>
      </c>
      <c r="B28" s="68"/>
      <c r="C28" s="69"/>
    </row>
    <row r="29" spans="1:4" x14ac:dyDescent="0.2">
      <c r="A29" s="105" t="s">
        <v>99</v>
      </c>
      <c r="B29" s="139" t="s">
        <v>61</v>
      </c>
      <c r="C29" s="140"/>
    </row>
    <row r="30" spans="1:4" x14ac:dyDescent="0.2">
      <c r="A30" s="70" t="s">
        <v>62</v>
      </c>
      <c r="B30" s="131">
        <f>(0.5*C53)+C66*0.4+0.1*C80+B33</f>
        <v>0.26469617689388381</v>
      </c>
      <c r="C30" s="132"/>
    </row>
    <row r="31" spans="1:4" x14ac:dyDescent="0.2">
      <c r="A31" s="70" t="s">
        <v>63</v>
      </c>
      <c r="B31" s="131">
        <f>0.5*C54+0.4*C67+0.1*C81</f>
        <v>0.1136379224737244</v>
      </c>
      <c r="C31" s="132"/>
    </row>
    <row r="32" spans="1:4" x14ac:dyDescent="0.2">
      <c r="A32" s="70" t="s">
        <v>64</v>
      </c>
      <c r="B32" s="141">
        <f>(B30+B31)/2</f>
        <v>0.1891670496838041</v>
      </c>
      <c r="C32" s="142"/>
    </row>
    <row r="33" spans="1:4" x14ac:dyDescent="0.2">
      <c r="A33" s="143" t="s">
        <v>84</v>
      </c>
      <c r="B33" s="126">
        <f>C22</f>
        <v>5.1966406387445915E-2</v>
      </c>
      <c r="C33" s="127"/>
    </row>
    <row r="34" spans="1:4" x14ac:dyDescent="0.2">
      <c r="A34" s="49" t="s">
        <v>65</v>
      </c>
      <c r="B34" s="144">
        <f>0.5*C52+0.4*C68+0.1*C82</f>
        <v>0.4710555724275175</v>
      </c>
      <c r="C34" s="145"/>
    </row>
    <row r="35" spans="1:4" x14ac:dyDescent="0.2">
      <c r="A35" s="40" t="s">
        <v>37</v>
      </c>
      <c r="B35" s="146">
        <f>B4</f>
        <v>4990</v>
      </c>
      <c r="C35" s="147"/>
    </row>
    <row r="36" spans="1:4" x14ac:dyDescent="0.2">
      <c r="A36" s="2" t="s">
        <v>66</v>
      </c>
      <c r="B36" s="71" t="s">
        <v>67</v>
      </c>
      <c r="C36" s="72" t="s">
        <v>68</v>
      </c>
    </row>
    <row r="37" spans="1:4" x14ac:dyDescent="0.2">
      <c r="A37" s="73">
        <v>2024</v>
      </c>
      <c r="B37" s="74">
        <f>(B35*(B32+B33)*1)+B35</f>
        <v>6193.2559457955376</v>
      </c>
      <c r="C37" s="119">
        <f>(B41-B35)/B35</f>
        <v>1.20566728035625</v>
      </c>
    </row>
    <row r="38" spans="1:4" x14ac:dyDescent="0.2">
      <c r="A38" s="73">
        <v>2025</v>
      </c>
      <c r="B38" s="74">
        <f>(B35*(B32+B33)*2)+B35</f>
        <v>7396.5118915910753</v>
      </c>
      <c r="C38" s="120"/>
    </row>
    <row r="39" spans="1:4" x14ac:dyDescent="0.2">
      <c r="A39" s="73">
        <v>2026</v>
      </c>
      <c r="B39" s="74">
        <f>(B35*(B32+B33)*3)+B35</f>
        <v>8599.7678373866129</v>
      </c>
      <c r="C39" s="120"/>
    </row>
    <row r="40" spans="1:4" x14ac:dyDescent="0.2">
      <c r="A40" s="73">
        <v>2027</v>
      </c>
      <c r="B40" s="74">
        <f>(B35*(B32+B33)*4)+B35</f>
        <v>9803.0237831821505</v>
      </c>
      <c r="C40" s="120"/>
    </row>
    <row r="41" spans="1:4" x14ac:dyDescent="0.2">
      <c r="A41" s="73">
        <v>2028</v>
      </c>
      <c r="B41" s="74">
        <f>(B35*(B32+B33)*5)+B35</f>
        <v>11006.279728977688</v>
      </c>
      <c r="C41" s="121"/>
    </row>
    <row r="42" spans="1:4" x14ac:dyDescent="0.2">
      <c r="A42" s="75"/>
      <c r="B42" s="76"/>
      <c r="C42" s="77"/>
    </row>
    <row r="43" spans="1:4" x14ac:dyDescent="0.2">
      <c r="A43" s="78" t="s">
        <v>69</v>
      </c>
      <c r="B43" s="122">
        <f>0.8*(B16)+(0.2*(B15))</f>
        <v>0.16650973818107082</v>
      </c>
      <c r="C43" s="123"/>
    </row>
    <row r="44" spans="1:4" x14ac:dyDescent="0.2">
      <c r="A44" s="78" t="s">
        <v>56</v>
      </c>
      <c r="B44" s="112">
        <f>B24</f>
        <v>2469.129430851674</v>
      </c>
      <c r="C44" s="113"/>
    </row>
    <row r="45" spans="1:4" x14ac:dyDescent="0.2">
      <c r="A45" s="79">
        <v>2024</v>
      </c>
      <c r="B45" s="92">
        <f>B44*(100%+B43)</f>
        <v>2880.2635259179624</v>
      </c>
      <c r="C45" s="93">
        <f>B45*(C50)</f>
        <v>5443.6980639849489</v>
      </c>
      <c r="D45" s="80"/>
    </row>
    <row r="46" spans="1:4" x14ac:dyDescent="0.2">
      <c r="A46" s="81">
        <v>2025</v>
      </c>
      <c r="B46" s="92">
        <f>B45*(100%+B43)</f>
        <v>3359.85545151105</v>
      </c>
      <c r="C46" s="93">
        <f>B46*(C50)</f>
        <v>6350.1268033558845</v>
      </c>
    </row>
    <row r="47" spans="1:4" x14ac:dyDescent="0.2">
      <c r="A47" s="79">
        <v>2026</v>
      </c>
      <c r="B47" s="92">
        <f>B46*(100%+B43)</f>
        <v>3919.304103068398</v>
      </c>
      <c r="C47" s="93">
        <f>B47*(C50)</f>
        <v>7407.4847547992722</v>
      </c>
    </row>
    <row r="48" spans="1:4" x14ac:dyDescent="0.2">
      <c r="A48" s="81">
        <v>2027</v>
      </c>
      <c r="B48" s="92">
        <f>B47*(100%+B43)</f>
        <v>4571.9064031223133</v>
      </c>
      <c r="C48" s="93">
        <f>B48*(C50)</f>
        <v>8640.9031019011709</v>
      </c>
    </row>
    <row r="49" spans="1:4" x14ac:dyDescent="0.2">
      <c r="A49" s="79">
        <v>2028</v>
      </c>
      <c r="B49" s="103">
        <f>B48*(100%+B43)</f>
        <v>5333.1733412945705</v>
      </c>
      <c r="C49" s="93">
        <f>B49*(C50)</f>
        <v>10079.697615046738</v>
      </c>
      <c r="D49" s="55"/>
    </row>
    <row r="50" spans="1:4" x14ac:dyDescent="0.2">
      <c r="A50" s="116" t="s">
        <v>70</v>
      </c>
      <c r="B50" s="82" t="s">
        <v>83</v>
      </c>
      <c r="C50" s="96">
        <v>1.89</v>
      </c>
      <c r="D50" s="55"/>
    </row>
    <row r="51" spans="1:4" x14ac:dyDescent="0.2">
      <c r="A51" s="117"/>
      <c r="B51" s="85" t="s">
        <v>73</v>
      </c>
      <c r="C51" s="87">
        <f>(C49-B35)/B35</f>
        <v>1.0199794819732941</v>
      </c>
      <c r="D51" s="57"/>
    </row>
    <row r="52" spans="1:4" x14ac:dyDescent="0.2">
      <c r="A52" s="117"/>
      <c r="B52" s="83" t="s">
        <v>71</v>
      </c>
      <c r="C52" s="84">
        <f>1-(B35/(C49))</f>
        <v>0.50494546656329808</v>
      </c>
    </row>
    <row r="53" spans="1:4" x14ac:dyDescent="0.2">
      <c r="A53" s="117"/>
      <c r="B53" s="85" t="s">
        <v>72</v>
      </c>
      <c r="C53" s="86">
        <f>C51/5</f>
        <v>0.20399589639465882</v>
      </c>
      <c r="D53"/>
    </row>
    <row r="54" spans="1:4" x14ac:dyDescent="0.2">
      <c r="A54" s="118"/>
      <c r="B54" s="88" t="s">
        <v>63</v>
      </c>
      <c r="C54" s="89">
        <f>(POWER((B49/B45),1/5))-1</f>
        <v>0.13112524413118609</v>
      </c>
    </row>
    <row r="55" spans="1:4" x14ac:dyDescent="0.2">
      <c r="C55"/>
    </row>
    <row r="56" spans="1:4" x14ac:dyDescent="0.2">
      <c r="A56" s="107" t="s">
        <v>75</v>
      </c>
      <c r="B56" s="108"/>
      <c r="C56" s="109"/>
    </row>
    <row r="57" spans="1:4" x14ac:dyDescent="0.2">
      <c r="A57" s="78" t="s">
        <v>69</v>
      </c>
      <c r="B57" s="110">
        <f>0.8*(B17)+(0.2*(B18))</f>
        <v>0.13384682713347923</v>
      </c>
      <c r="C57" s="111"/>
    </row>
    <row r="58" spans="1:4" x14ac:dyDescent="0.2">
      <c r="A58" s="90" t="s">
        <v>42</v>
      </c>
      <c r="B58" s="112">
        <f>B10</f>
        <v>471.47703249700925</v>
      </c>
      <c r="C58" s="113"/>
      <c r="D58" s="57"/>
    </row>
    <row r="59" spans="1:4" x14ac:dyDescent="0.2">
      <c r="A59" s="91">
        <v>2024</v>
      </c>
      <c r="B59" s="92">
        <f>B58*(100%+B57)</f>
        <v>534.58273736304216</v>
      </c>
      <c r="C59" s="93">
        <f>B59*C64</f>
        <v>7302.4001923791557</v>
      </c>
      <c r="D59" s="57"/>
    </row>
    <row r="60" spans="1:4" x14ac:dyDescent="0.2">
      <c r="A60" s="94">
        <v>2025</v>
      </c>
      <c r="B60" s="92">
        <f>B59*(100%+B57)</f>
        <v>606.13494059941536</v>
      </c>
      <c r="C60" s="93">
        <f>B60*C64</f>
        <v>8279.8032885880148</v>
      </c>
      <c r="D60" s="57"/>
    </row>
    <row r="61" spans="1:4" x14ac:dyDescent="0.2">
      <c r="A61" s="94">
        <v>2026</v>
      </c>
      <c r="B61" s="92">
        <f>B60*(100%+B57)</f>
        <v>687.26417921338702</v>
      </c>
      <c r="C61" s="93">
        <f>B61*C64</f>
        <v>9388.0286880548665</v>
      </c>
      <c r="D61" s="57"/>
    </row>
    <row r="62" spans="1:4" x14ac:dyDescent="0.2">
      <c r="A62" s="94">
        <v>2027</v>
      </c>
      <c r="B62" s="92">
        <f>B61*(100%+B57)</f>
        <v>779.25230900359372</v>
      </c>
      <c r="C62" s="93">
        <f>B62*C64</f>
        <v>10644.58654098909</v>
      </c>
      <c r="D62" s="57"/>
    </row>
    <row r="63" spans="1:4" x14ac:dyDescent="0.2">
      <c r="A63" s="95">
        <v>2028</v>
      </c>
      <c r="B63" s="92">
        <f>B62*(100%+B57)</f>
        <v>883.55275810016224</v>
      </c>
      <c r="C63" s="93">
        <f>B63*C64</f>
        <v>12069.330675648216</v>
      </c>
      <c r="D63" s="57"/>
    </row>
    <row r="64" spans="1:4" x14ac:dyDescent="0.2">
      <c r="A64" s="114" t="s">
        <v>76</v>
      </c>
      <c r="B64" s="82" t="s">
        <v>80</v>
      </c>
      <c r="C64" s="96">
        <v>13.66</v>
      </c>
    </row>
    <row r="65" spans="1:4" x14ac:dyDescent="0.2">
      <c r="A65" s="115"/>
      <c r="B65" s="97" t="s">
        <v>3</v>
      </c>
      <c r="C65" s="98">
        <f>(C63-B35)/B35</f>
        <v>1.4187035422140715</v>
      </c>
      <c r="D65" s="80"/>
    </row>
    <row r="66" spans="1:4" x14ac:dyDescent="0.2">
      <c r="A66" s="115"/>
      <c r="B66" s="97" t="s">
        <v>74</v>
      </c>
      <c r="C66" s="99">
        <f>C65/5</f>
        <v>0.28374070844281429</v>
      </c>
      <c r="D66" s="69"/>
    </row>
    <row r="67" spans="1:4" x14ac:dyDescent="0.2">
      <c r="A67" s="115"/>
      <c r="B67" s="6" t="s">
        <v>63</v>
      </c>
      <c r="C67" s="100">
        <f>(POWER((C63/C59),1/5))-1</f>
        <v>0.10571578942033621</v>
      </c>
    </row>
    <row r="68" spans="1:4" x14ac:dyDescent="0.2">
      <c r="A68" s="115"/>
      <c r="B68" s="97" t="s">
        <v>71</v>
      </c>
      <c r="C68" s="101">
        <f>1-(B35/(C63))</f>
        <v>0.58655536631636795</v>
      </c>
    </row>
    <row r="69" spans="1:4" x14ac:dyDescent="0.2">
      <c r="B69" s="102"/>
      <c r="C69"/>
    </row>
    <row r="70" spans="1:4" x14ac:dyDescent="0.2">
      <c r="A70" s="107" t="s">
        <v>77</v>
      </c>
      <c r="B70" s="108"/>
      <c r="C70" s="109"/>
    </row>
    <row r="71" spans="1:4" x14ac:dyDescent="0.2">
      <c r="A71" s="78" t="s">
        <v>69</v>
      </c>
      <c r="B71" s="110">
        <f>0.8*(B19)+(0.2*(B20))</f>
        <v>7.2878546175450198E-2</v>
      </c>
      <c r="C71" s="111"/>
    </row>
    <row r="72" spans="1:4" x14ac:dyDescent="0.2">
      <c r="A72" s="90" t="s">
        <v>78</v>
      </c>
      <c r="B72" s="112">
        <f>B11</f>
        <v>1039.5601514232806</v>
      </c>
      <c r="C72" s="113"/>
      <c r="D72" s="57"/>
    </row>
    <row r="73" spans="1:4" x14ac:dyDescent="0.2">
      <c r="A73" s="91">
        <v>2023</v>
      </c>
      <c r="B73" s="92">
        <f>B72*(100%+B71)</f>
        <v>1115.3217839209401</v>
      </c>
      <c r="C73" s="93">
        <f>B73*C78</f>
        <v>3245.5863912099358</v>
      </c>
      <c r="D73" s="57"/>
    </row>
    <row r="74" spans="1:4" x14ac:dyDescent="0.2">
      <c r="A74" s="94">
        <v>2024</v>
      </c>
      <c r="B74" s="92">
        <f>B73*(100%+B71)</f>
        <v>1196.6048140509079</v>
      </c>
      <c r="C74" s="93">
        <f>B74*C78</f>
        <v>3482.1200088881419</v>
      </c>
      <c r="D74" s="57"/>
    </row>
    <row r="75" spans="1:4" x14ac:dyDescent="0.2">
      <c r="A75" s="94">
        <v>2025</v>
      </c>
      <c r="B75" s="92">
        <f>B74*(100%+B71)</f>
        <v>1283.8116332454829</v>
      </c>
      <c r="C75" s="93">
        <f>B75*C78</f>
        <v>3735.8918527443552</v>
      </c>
      <c r="D75" s="57"/>
    </row>
    <row r="76" spans="1:4" x14ac:dyDescent="0.2">
      <c r="A76" s="94">
        <v>2026</v>
      </c>
      <c r="B76" s="92">
        <f>B75*(100%+B71)</f>
        <v>1377.3739586395438</v>
      </c>
      <c r="C76" s="93">
        <f>B76*C78</f>
        <v>4008.1582196410727</v>
      </c>
      <c r="D76" s="57"/>
    </row>
    <row r="77" spans="1:4" x14ac:dyDescent="0.2">
      <c r="A77" s="94">
        <v>2027</v>
      </c>
      <c r="B77" s="92">
        <f>B76*(100%+B71)</f>
        <v>1477.7549702851184</v>
      </c>
      <c r="C77" s="93">
        <f>B77*C78</f>
        <v>4300.2669635296943</v>
      </c>
      <c r="D77" s="57"/>
    </row>
    <row r="78" spans="1:4" x14ac:dyDescent="0.2">
      <c r="A78" s="114" t="s">
        <v>79</v>
      </c>
      <c r="B78" s="82" t="s">
        <v>81</v>
      </c>
      <c r="C78" s="96">
        <v>2.91</v>
      </c>
    </row>
    <row r="79" spans="1:4" x14ac:dyDescent="0.2">
      <c r="A79" s="115"/>
      <c r="B79" s="97" t="s">
        <v>3</v>
      </c>
      <c r="C79" s="98">
        <f>(C77-B35)/B35</f>
        <v>-0.13822305340086286</v>
      </c>
    </row>
    <row r="80" spans="1:4" x14ac:dyDescent="0.2">
      <c r="A80" s="115"/>
      <c r="B80" s="97" t="s">
        <v>74</v>
      </c>
      <c r="C80" s="99">
        <f>C79/5</f>
        <v>-2.7644610680172571E-2</v>
      </c>
    </row>
    <row r="81" spans="1:3" x14ac:dyDescent="0.2">
      <c r="A81" s="115"/>
      <c r="B81" s="6" t="s">
        <v>63</v>
      </c>
      <c r="C81" s="100">
        <f>(POWER((C77/C73),1/5))-1</f>
        <v>5.7889846399968636E-2</v>
      </c>
    </row>
    <row r="82" spans="1:3" x14ac:dyDescent="0.2">
      <c r="A82" s="115"/>
      <c r="B82" s="97" t="s">
        <v>71</v>
      </c>
      <c r="C82" s="101">
        <f>1-(B35/(C77))</f>
        <v>-0.16039307380678691</v>
      </c>
    </row>
    <row r="83" spans="1:3" x14ac:dyDescent="0.2">
      <c r="C83" s="3"/>
    </row>
  </sheetData>
  <mergeCells count="26">
    <mergeCell ref="B19:C19"/>
    <mergeCell ref="B20:C20"/>
    <mergeCell ref="B21:C21"/>
    <mergeCell ref="B33:C33"/>
    <mergeCell ref="B1:C1"/>
    <mergeCell ref="B16:C16"/>
    <mergeCell ref="B17:C17"/>
    <mergeCell ref="B18:C18"/>
    <mergeCell ref="B29:C29"/>
    <mergeCell ref="B30:C30"/>
    <mergeCell ref="B31:C31"/>
    <mergeCell ref="B32:C32"/>
    <mergeCell ref="B35:C35"/>
    <mergeCell ref="B34:C34"/>
    <mergeCell ref="C37:C41"/>
    <mergeCell ref="B43:C43"/>
    <mergeCell ref="B44:C44"/>
    <mergeCell ref="A70:C70"/>
    <mergeCell ref="B71:C71"/>
    <mergeCell ref="B72:C72"/>
    <mergeCell ref="A78:A82"/>
    <mergeCell ref="A50:A54"/>
    <mergeCell ref="A56:C56"/>
    <mergeCell ref="B57:C57"/>
    <mergeCell ref="B58:C58"/>
    <mergeCell ref="A64:A6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44B8-211A-4C9A-AF52-1FFFE41692C5}">
  <dimension ref="A1:AC4"/>
  <sheetViews>
    <sheetView topLeftCell="N1" zoomScale="113" zoomScaleNormal="85" workbookViewId="0">
      <pane ySplit="1" topLeftCell="A2" activePane="bottomLeft" state="frozen"/>
      <selection pane="bottomLeft" activeCell="AA7" sqref="AA7"/>
    </sheetView>
  </sheetViews>
  <sheetFormatPr baseColWidth="10" defaultColWidth="9.1640625" defaultRowHeight="15" x14ac:dyDescent="0.2"/>
  <cols>
    <col min="1" max="1" width="15" style="1" customWidth="1"/>
    <col min="2" max="2" width="47.1640625" style="1" bestFit="1" customWidth="1"/>
    <col min="3" max="3" width="18.5" style="1" bestFit="1" customWidth="1"/>
    <col min="4" max="4" width="18.5" style="1" customWidth="1"/>
    <col min="5" max="5" width="18.5" style="6" bestFit="1" customWidth="1"/>
    <col min="6" max="6" width="16.33203125" style="1" customWidth="1"/>
    <col min="7" max="7" width="18.1640625" style="1" customWidth="1"/>
    <col min="8" max="8" width="15.6640625" style="19" bestFit="1" customWidth="1"/>
    <col min="9" max="9" width="16.33203125" style="1" customWidth="1"/>
    <col min="10" max="11" width="15.1640625" style="27" bestFit="1" customWidth="1"/>
    <col min="12" max="12" width="14.83203125" style="13" customWidth="1"/>
    <col min="13" max="13" width="13.83203125" style="19" customWidth="1"/>
    <col min="14" max="14" width="15.1640625" style="13" bestFit="1" customWidth="1"/>
    <col min="15" max="15" width="18.1640625" style="1" customWidth="1"/>
    <col min="16" max="16" width="18.5" style="13" customWidth="1"/>
    <col min="17" max="17" width="12.5" style="13" customWidth="1"/>
    <col min="18" max="18" width="16.33203125" style="19" bestFit="1" customWidth="1"/>
    <col min="19" max="19" width="17.5" style="4" bestFit="1" customWidth="1"/>
    <col min="20" max="20" width="17" style="4" bestFit="1" customWidth="1"/>
    <col min="21" max="21" width="15.1640625" style="4" bestFit="1" customWidth="1"/>
    <col min="22" max="22" width="14.83203125" style="4" customWidth="1"/>
    <col min="23" max="23" width="14.6640625" style="4" customWidth="1"/>
    <col min="24" max="24" width="9.5" style="19" customWidth="1"/>
    <col min="25" max="25" width="15.83203125" style="13" customWidth="1"/>
    <col min="26" max="26" width="18.5" style="1" bestFit="1" customWidth="1"/>
    <col min="27" max="27" width="20.33203125" style="1" bestFit="1" customWidth="1"/>
    <col min="28" max="28" width="15" style="1" bestFit="1" customWidth="1"/>
    <col min="29" max="29" width="15.33203125" style="1" bestFit="1" customWidth="1"/>
    <col min="30" max="30" width="9.1640625" style="1"/>
    <col min="31" max="31" width="11" style="1" bestFit="1" customWidth="1"/>
    <col min="32" max="16384" width="9.1640625" style="1"/>
  </cols>
  <sheetData>
    <row r="1" spans="1:29" ht="20.25" customHeight="1" x14ac:dyDescent="0.2">
      <c r="A1" s="2" t="s">
        <v>1</v>
      </c>
      <c r="B1" s="2" t="s">
        <v>0</v>
      </c>
      <c r="C1" s="18" t="s">
        <v>2</v>
      </c>
      <c r="D1" s="18" t="s">
        <v>82</v>
      </c>
      <c r="E1" s="2" t="s">
        <v>13</v>
      </c>
      <c r="F1" s="2" t="s">
        <v>14</v>
      </c>
      <c r="G1" s="17" t="s">
        <v>15</v>
      </c>
      <c r="H1" s="2" t="s">
        <v>16</v>
      </c>
      <c r="I1" s="31" t="s">
        <v>22</v>
      </c>
      <c r="J1" s="29" t="s">
        <v>20</v>
      </c>
      <c r="K1" s="29" t="s">
        <v>21</v>
      </c>
      <c r="L1" s="22" t="s">
        <v>12</v>
      </c>
      <c r="M1" s="11" t="s">
        <v>23</v>
      </c>
      <c r="N1" s="9" t="s">
        <v>24</v>
      </c>
      <c r="O1" s="18" t="s">
        <v>11</v>
      </c>
      <c r="P1" s="17" t="s">
        <v>3</v>
      </c>
      <c r="Q1" s="21" t="s">
        <v>4</v>
      </c>
      <c r="R1" s="2" t="s">
        <v>5</v>
      </c>
      <c r="S1" s="18" t="s">
        <v>6</v>
      </c>
      <c r="T1" s="18" t="s">
        <v>7</v>
      </c>
      <c r="U1" s="18" t="s">
        <v>8</v>
      </c>
      <c r="V1" s="8" t="s">
        <v>10</v>
      </c>
      <c r="W1" s="18" t="s">
        <v>17</v>
      </c>
      <c r="X1" s="23" t="s">
        <v>18</v>
      </c>
      <c r="Y1" s="22" t="s">
        <v>19</v>
      </c>
      <c r="Z1" s="27" t="s">
        <v>85</v>
      </c>
    </row>
    <row r="2" spans="1:29" ht="19.5" customHeight="1" x14ac:dyDescent="0.2">
      <c r="A2" s="133" t="s">
        <v>9</v>
      </c>
      <c r="B2" s="6" t="e" vm="1">
        <v>#VALUE!</v>
      </c>
      <c r="C2" s="7">
        <v>100000</v>
      </c>
      <c r="D2" s="7">
        <v>655000000</v>
      </c>
      <c r="E2" s="7">
        <v>3200</v>
      </c>
      <c r="F2" s="5">
        <f>E2*C2</f>
        <v>320000000</v>
      </c>
      <c r="G2" s="25">
        <f>O2-F2</f>
        <v>392500000</v>
      </c>
      <c r="H2" s="24">
        <f>G2/F2</f>
        <v>1.2265625</v>
      </c>
      <c r="I2" s="7">
        <v>7125</v>
      </c>
      <c r="J2" s="5" cm="1">
        <f t="array" aca="1" ref="J2" ca="1">_FV(B2,"Price")</f>
        <v>5300</v>
      </c>
      <c r="K2" s="28">
        <v>7250</v>
      </c>
      <c r="L2" s="7">
        <f>K2*0.8</f>
        <v>5800</v>
      </c>
      <c r="M2" s="24">
        <f>(L2-E2)/E2</f>
        <v>0.8125</v>
      </c>
      <c r="N2" s="32">
        <f>M2*F2</f>
        <v>260000000</v>
      </c>
      <c r="O2" s="26">
        <f>I2*C2</f>
        <v>712500000</v>
      </c>
      <c r="P2" s="12">
        <f>O2-D2</f>
        <v>57500000</v>
      </c>
      <c r="Q2" s="14">
        <f>P2/D2</f>
        <v>8.7786259541984726E-2</v>
      </c>
      <c r="R2" s="135">
        <f>SUM(D2:D3)</f>
        <v>922000000</v>
      </c>
      <c r="S2" s="135">
        <f>SUM(O2:O3)</f>
        <v>985500000</v>
      </c>
      <c r="T2" s="135">
        <f>SUM(P2:P3)</f>
        <v>63500000</v>
      </c>
      <c r="U2" s="137">
        <f>T2/R2</f>
        <v>6.8872017353579174E-2</v>
      </c>
      <c r="V2" s="30">
        <f>O2/S2</f>
        <v>0.72298325722983259</v>
      </c>
      <c r="W2" s="15"/>
      <c r="X2" s="20">
        <f>W2/F2</f>
        <v>0</v>
      </c>
      <c r="Y2" s="104" t="str">
        <f ca="1">IF(J2&lt;L2,"JUAL","AMAN")</f>
        <v>JUAL</v>
      </c>
      <c r="Z2" s="104" t="str">
        <f>IF(V2&lt;5%,"KURANG",(IF(V2&gt;40%,"KELEBIHAN","AMAN")))</f>
        <v>KELEBIHAN</v>
      </c>
    </row>
    <row r="3" spans="1:29" ht="19.5" customHeight="1" x14ac:dyDescent="0.2">
      <c r="A3" s="134"/>
      <c r="B3" s="6" t="e" vm="2">
        <v>#VALUE!</v>
      </c>
      <c r="C3" s="7">
        <v>100000</v>
      </c>
      <c r="D3" s="7">
        <v>267000000</v>
      </c>
      <c r="E3" s="7">
        <v>2200</v>
      </c>
      <c r="F3" s="5">
        <f>E3*C3</f>
        <v>220000000</v>
      </c>
      <c r="G3" s="25">
        <f>O3-F3</f>
        <v>53000000</v>
      </c>
      <c r="H3" s="24">
        <f>G3/F3</f>
        <v>0.24090909090909091</v>
      </c>
      <c r="I3" s="7">
        <v>2730</v>
      </c>
      <c r="J3" s="5" cm="1">
        <f t="array" aca="1" ref="J3" ca="1">_FV(B3,"Price")</f>
        <v>2630</v>
      </c>
      <c r="K3" s="28">
        <v>3200</v>
      </c>
      <c r="L3" s="7">
        <f>K3*0.8</f>
        <v>2560</v>
      </c>
      <c r="M3" s="24">
        <f>(L3-E3)/E3</f>
        <v>0.16363636363636364</v>
      </c>
      <c r="N3" s="32">
        <f>M3*F3</f>
        <v>36000000</v>
      </c>
      <c r="O3" s="26">
        <f>I3*C3</f>
        <v>273000000</v>
      </c>
      <c r="P3" s="12">
        <f>O3-D3</f>
        <v>6000000</v>
      </c>
      <c r="Q3" s="14">
        <f>P3/D3</f>
        <v>2.247191011235955E-2</v>
      </c>
      <c r="R3" s="136"/>
      <c r="S3" s="136"/>
      <c r="T3" s="136"/>
      <c r="U3" s="138"/>
      <c r="V3" s="30">
        <f>O3/S2</f>
        <v>0.27701674277016741</v>
      </c>
      <c r="W3" s="15"/>
      <c r="X3" s="20">
        <f>W3/F3</f>
        <v>0</v>
      </c>
      <c r="Y3" s="104" t="str">
        <f ca="1">IF(J3&lt;L3,"JUAL","AMAN")</f>
        <v>AMAN</v>
      </c>
      <c r="Z3" s="104" t="str">
        <f>IF(V3&lt;5%,"KURANG",(IF(V3&gt;40%,"KELEBIHAN","AMAN")))</f>
        <v>AMAN</v>
      </c>
      <c r="AC3" s="16"/>
    </row>
    <row r="4" spans="1:29" s="10" customFormat="1" ht="72.75" customHeight="1" x14ac:dyDescent="0.2">
      <c r="C4" s="10" t="s">
        <v>25</v>
      </c>
      <c r="D4" s="10" t="s">
        <v>86</v>
      </c>
      <c r="E4" s="33" t="s">
        <v>26</v>
      </c>
      <c r="F4" s="10" t="s">
        <v>27</v>
      </c>
      <c r="G4" s="10" t="s">
        <v>28</v>
      </c>
      <c r="H4" s="34" t="s">
        <v>29</v>
      </c>
      <c r="I4" s="10" t="s">
        <v>87</v>
      </c>
      <c r="J4" s="35" t="s">
        <v>88</v>
      </c>
      <c r="K4" s="35" t="s">
        <v>30</v>
      </c>
      <c r="L4" s="36" t="s">
        <v>31</v>
      </c>
      <c r="M4" s="34" t="s">
        <v>32</v>
      </c>
      <c r="N4" s="36" t="s">
        <v>33</v>
      </c>
      <c r="O4" s="10" t="s">
        <v>34</v>
      </c>
      <c r="P4" s="36" t="s">
        <v>89</v>
      </c>
      <c r="Q4" s="36" t="s">
        <v>90</v>
      </c>
      <c r="R4" s="37" t="s">
        <v>91</v>
      </c>
      <c r="S4" s="37" t="s">
        <v>92</v>
      </c>
      <c r="T4" s="37" t="s">
        <v>93</v>
      </c>
      <c r="U4" s="38" t="s">
        <v>90</v>
      </c>
      <c r="V4" s="39" t="s">
        <v>94</v>
      </c>
      <c r="W4" s="39" t="s">
        <v>95</v>
      </c>
      <c r="X4" s="34" t="s">
        <v>96</v>
      </c>
      <c r="Y4" s="36" t="s">
        <v>97</v>
      </c>
      <c r="Z4" s="10" t="s">
        <v>98</v>
      </c>
    </row>
  </sheetData>
  <mergeCells count="5">
    <mergeCell ref="A2:A3"/>
    <mergeCell ref="R2:R3"/>
    <mergeCell ref="T2:T3"/>
    <mergeCell ref="U2:U3"/>
    <mergeCell ref="S2:S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0538DA-6D37-40BF-A2EA-C4E1FEA71A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Saham</vt:lpstr>
      <vt:lpstr>Alokasi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Faza Ghani Aprianto</cp:lastModifiedBy>
  <dcterms:created xsi:type="dcterms:W3CDTF">2021-08-10T08:24:42Z</dcterms:created>
  <dcterms:modified xsi:type="dcterms:W3CDTF">2026-02-26T04:13:36Z</dcterms:modified>
</cp:coreProperties>
</file>
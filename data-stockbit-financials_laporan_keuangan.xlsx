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Hibban\Downloads\"/>
    </mc:Choice>
  </mc:AlternateContent>
  <xr:revisionPtr revIDLastSave="0" documentId="13_ncr:1_{71DCD0DB-3FB5-454B-9D0E-9830301A18B8}" xr6:coauthVersionLast="47" xr6:coauthVersionMax="47" xr10:uidLastSave="{00000000-0000-0000-0000-000000000000}"/>
  <bookViews>
    <workbookView xWindow="-110" yWindow="-110" windowWidth="19420" windowHeight="11020" activeTab="2" xr2:uid="{00000000-000D-0000-FFFF-FFFF00000000}"/>
  </bookViews>
  <sheets>
    <sheet name="AADI" sheetId="1" r:id="rId1"/>
    <sheet name="AALI" sheetId="2" r:id="rId2"/>
    <sheet name="ANTM" sheetId="3" r:id="rId3"/>
    <sheet name="BBCA" sheetId="4" r:id="rId4"/>
    <sheet name="BBRI"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7" i="5" l="1"/>
  <c r="Y37" i="5"/>
  <c r="X37" i="5"/>
  <c r="W37" i="5"/>
  <c r="V37" i="5"/>
  <c r="U37" i="5"/>
  <c r="T37" i="5"/>
  <c r="S37" i="5"/>
  <c r="R37" i="5"/>
  <c r="Q37" i="5"/>
  <c r="P37" i="5"/>
  <c r="O37" i="5"/>
  <c r="N37" i="5"/>
  <c r="M37" i="5"/>
  <c r="L37" i="5"/>
  <c r="K37" i="5"/>
  <c r="J37" i="5"/>
  <c r="I37" i="5"/>
  <c r="H37" i="5"/>
  <c r="D37" i="5"/>
  <c r="Z36" i="5"/>
  <c r="Y36" i="5"/>
  <c r="X36" i="5"/>
  <c r="W36" i="5"/>
  <c r="V36" i="5"/>
  <c r="U36" i="5"/>
  <c r="T36" i="5"/>
  <c r="S36" i="5"/>
  <c r="R36" i="5"/>
  <c r="Q36" i="5"/>
  <c r="P36" i="5"/>
  <c r="O36" i="5"/>
  <c r="N36" i="5"/>
  <c r="M36" i="5"/>
  <c r="L36" i="5"/>
  <c r="K36" i="5"/>
  <c r="J36" i="5"/>
  <c r="I36" i="5"/>
  <c r="H36" i="5"/>
  <c r="D36" i="5"/>
  <c r="Z35" i="5"/>
  <c r="Y35" i="5"/>
  <c r="X35" i="5"/>
  <c r="W35" i="5"/>
  <c r="V35" i="5"/>
  <c r="U35" i="5"/>
  <c r="T35" i="5"/>
  <c r="S35" i="5"/>
  <c r="R35" i="5"/>
  <c r="Q35" i="5"/>
  <c r="P35" i="5"/>
  <c r="O35" i="5"/>
  <c r="N35" i="5"/>
  <c r="M35" i="5"/>
  <c r="L35" i="5"/>
  <c r="K35" i="5"/>
  <c r="J35" i="5"/>
  <c r="I35" i="5"/>
  <c r="D35" i="5"/>
  <c r="H35" i="5" s="1"/>
  <c r="Z34" i="5"/>
  <c r="Y34" i="5"/>
  <c r="X34" i="5"/>
  <c r="W34" i="5"/>
  <c r="V34" i="5"/>
  <c r="U34" i="5"/>
  <c r="T34" i="5"/>
  <c r="S34" i="5"/>
  <c r="R34" i="5"/>
  <c r="Q34" i="5"/>
  <c r="P34" i="5"/>
  <c r="O34" i="5"/>
  <c r="N34" i="5"/>
  <c r="M34" i="5"/>
  <c r="L34" i="5"/>
  <c r="K34" i="5"/>
  <c r="J34" i="5"/>
  <c r="I34" i="5"/>
  <c r="D34" i="5"/>
  <c r="H34" i="5" s="1"/>
  <c r="Z33" i="5"/>
  <c r="Y33" i="5"/>
  <c r="X33" i="5"/>
  <c r="W33" i="5"/>
  <c r="V33" i="5"/>
  <c r="U33" i="5"/>
  <c r="T33" i="5"/>
  <c r="S33" i="5"/>
  <c r="R33" i="5"/>
  <c r="Q33" i="5"/>
  <c r="P33" i="5"/>
  <c r="O33" i="5"/>
  <c r="N33" i="5"/>
  <c r="M33" i="5"/>
  <c r="L33" i="5"/>
  <c r="K33" i="5"/>
  <c r="J33" i="5"/>
  <c r="I33" i="5"/>
  <c r="D33" i="5"/>
  <c r="H33" i="5" s="1"/>
  <c r="Z32" i="5"/>
  <c r="Y32" i="5"/>
  <c r="X32" i="5"/>
  <c r="W32" i="5"/>
  <c r="V32" i="5"/>
  <c r="U32" i="5"/>
  <c r="T32" i="5"/>
  <c r="S32" i="5"/>
  <c r="R32" i="5"/>
  <c r="Q32" i="5"/>
  <c r="P32" i="5"/>
  <c r="O32" i="5"/>
  <c r="N32" i="5"/>
  <c r="M32" i="5"/>
  <c r="L32" i="5"/>
  <c r="K32" i="5"/>
  <c r="J32" i="5"/>
  <c r="I32" i="5"/>
  <c r="D32" i="5"/>
  <c r="H32" i="5" s="1"/>
  <c r="S26" i="5"/>
  <c r="D26" i="5"/>
  <c r="Z25" i="5"/>
  <c r="Z26" i="5" s="1"/>
  <c r="Y25" i="5"/>
  <c r="Y26" i="5" s="1"/>
  <c r="X25" i="5"/>
  <c r="X26" i="5" s="1"/>
  <c r="W25" i="5"/>
  <c r="R26" i="5" s="1"/>
  <c r="V25" i="5"/>
  <c r="V26" i="5" s="1"/>
  <c r="U25" i="5"/>
  <c r="P26" i="5" s="1"/>
  <c r="T25" i="5"/>
  <c r="S25" i="5"/>
  <c r="N26" i="5" s="1"/>
  <c r="R25" i="5"/>
  <c r="M26" i="5" s="1"/>
  <c r="Q25" i="5"/>
  <c r="L26" i="5" s="1"/>
  <c r="P25" i="5"/>
  <c r="O25" i="5"/>
  <c r="J26" i="5" s="1"/>
  <c r="N25" i="5"/>
  <c r="I26" i="5" s="1"/>
  <c r="M25" i="5"/>
  <c r="H26" i="5" s="1"/>
  <c r="L25" i="5"/>
  <c r="K25" i="5"/>
  <c r="K26" i="5" s="1"/>
  <c r="J25" i="5"/>
  <c r="I25" i="5"/>
  <c r="D25" i="5"/>
  <c r="H25" i="5" s="1"/>
  <c r="S24" i="5"/>
  <c r="W23" i="5"/>
  <c r="S23" i="5"/>
  <c r="O23" i="5"/>
  <c r="K23" i="5"/>
  <c r="D23" i="5"/>
  <c r="Z21" i="5"/>
  <c r="Y21" i="5"/>
  <c r="X21" i="5"/>
  <c r="W21" i="5"/>
  <c r="W27" i="5" s="1"/>
  <c r="V21" i="5"/>
  <c r="U21" i="5"/>
  <c r="T21" i="5"/>
  <c r="S21" i="5"/>
  <c r="R21" i="5"/>
  <c r="Q21" i="5"/>
  <c r="P21" i="5"/>
  <c r="O21" i="5"/>
  <c r="O27" i="5" s="1"/>
  <c r="N21" i="5"/>
  <c r="M21" i="5"/>
  <c r="L21" i="5"/>
  <c r="K21" i="5"/>
  <c r="J21" i="5"/>
  <c r="I21" i="5"/>
  <c r="D21" i="5"/>
  <c r="H21" i="5" s="1"/>
  <c r="Z16" i="5"/>
  <c r="Y16" i="5"/>
  <c r="X16" i="5"/>
  <c r="W16" i="5"/>
  <c r="V16" i="5"/>
  <c r="U16" i="5"/>
  <c r="T16" i="5"/>
  <c r="S16" i="5"/>
  <c r="R16" i="5"/>
  <c r="Q16" i="5"/>
  <c r="P16" i="5"/>
  <c r="O16" i="5"/>
  <c r="N16" i="5"/>
  <c r="M16" i="5"/>
  <c r="L16" i="5"/>
  <c r="K16" i="5"/>
  <c r="J16" i="5"/>
  <c r="I16" i="5"/>
  <c r="D16" i="5"/>
  <c r="H16" i="5" s="1"/>
  <c r="Z15" i="5"/>
  <c r="Y15" i="5"/>
  <c r="X15" i="5"/>
  <c r="W15" i="5"/>
  <c r="V15" i="5"/>
  <c r="U15" i="5"/>
  <c r="T15" i="5"/>
  <c r="S15" i="5"/>
  <c r="R15" i="5"/>
  <c r="Q15" i="5"/>
  <c r="P15" i="5"/>
  <c r="O15" i="5"/>
  <c r="N15" i="5"/>
  <c r="M15" i="5"/>
  <c r="L15" i="5"/>
  <c r="K15" i="5"/>
  <c r="J15" i="5"/>
  <c r="I15" i="5"/>
  <c r="D15" i="5"/>
  <c r="H15" i="5" s="1"/>
  <c r="Z14" i="5"/>
  <c r="Y14" i="5"/>
  <c r="X14" i="5"/>
  <c r="W14" i="5"/>
  <c r="V14" i="5"/>
  <c r="U14" i="5"/>
  <c r="T14" i="5"/>
  <c r="S14" i="5"/>
  <c r="R14" i="5"/>
  <c r="Q14" i="5"/>
  <c r="P14" i="5"/>
  <c r="O14" i="5"/>
  <c r="N14" i="5"/>
  <c r="M14" i="5"/>
  <c r="L14" i="5"/>
  <c r="K14" i="5"/>
  <c r="J14" i="5"/>
  <c r="I14" i="5"/>
  <c r="D14" i="5"/>
  <c r="H14" i="5" s="1"/>
  <c r="Z13" i="5"/>
  <c r="Y13" i="5"/>
  <c r="X13" i="5"/>
  <c r="W13" i="5"/>
  <c r="V13" i="5"/>
  <c r="U13" i="5"/>
  <c r="T13" i="5"/>
  <c r="S13" i="5"/>
  <c r="R13" i="5"/>
  <c r="Q13" i="5"/>
  <c r="P13" i="5"/>
  <c r="O13" i="5"/>
  <c r="N13" i="5"/>
  <c r="M13" i="5"/>
  <c r="L13" i="5"/>
  <c r="K13" i="5"/>
  <c r="J13" i="5"/>
  <c r="I13" i="5"/>
  <c r="D13" i="5"/>
  <c r="H13" i="5" s="1"/>
  <c r="Z12" i="5"/>
  <c r="Y12" i="5"/>
  <c r="X12" i="5"/>
  <c r="W12" i="5"/>
  <c r="V12" i="5"/>
  <c r="U12" i="5"/>
  <c r="T12" i="5"/>
  <c r="S12" i="5"/>
  <c r="R12" i="5"/>
  <c r="Q12" i="5"/>
  <c r="P12" i="5"/>
  <c r="O12" i="5"/>
  <c r="N12" i="5"/>
  <c r="M12" i="5"/>
  <c r="L12" i="5"/>
  <c r="K12" i="5"/>
  <c r="J12" i="5"/>
  <c r="I12" i="5"/>
  <c r="D12" i="5"/>
  <c r="H12" i="5" s="1"/>
  <c r="Z11" i="5"/>
  <c r="Y11" i="5"/>
  <c r="X11" i="5"/>
  <c r="W11" i="5"/>
  <c r="V11" i="5"/>
  <c r="U11" i="5"/>
  <c r="T11" i="5"/>
  <c r="S11" i="5"/>
  <c r="R11" i="5"/>
  <c r="Q11" i="5"/>
  <c r="P11" i="5"/>
  <c r="O11" i="5"/>
  <c r="N11" i="5"/>
  <c r="M11" i="5"/>
  <c r="L11" i="5"/>
  <c r="K11" i="5"/>
  <c r="J11" i="5"/>
  <c r="I11" i="5"/>
  <c r="D11" i="5"/>
  <c r="H11" i="5" s="1"/>
  <c r="Z9" i="5"/>
  <c r="Y9" i="5"/>
  <c r="X9" i="5"/>
  <c r="W9" i="5"/>
  <c r="V9" i="5"/>
  <c r="U9" i="5"/>
  <c r="T9" i="5"/>
  <c r="S9" i="5"/>
  <c r="R9" i="5"/>
  <c r="Q9" i="5"/>
  <c r="P9" i="5"/>
  <c r="O9" i="5"/>
  <c r="N9" i="5"/>
  <c r="M9" i="5"/>
  <c r="L9" i="5"/>
  <c r="K9" i="5"/>
  <c r="J9" i="5"/>
  <c r="I9" i="5"/>
  <c r="H9" i="5"/>
  <c r="D9" i="5"/>
  <c r="Z8" i="5"/>
  <c r="Y8" i="5"/>
  <c r="X8" i="5"/>
  <c r="W8" i="5"/>
  <c r="V8" i="5"/>
  <c r="U8" i="5"/>
  <c r="T8" i="5"/>
  <c r="S8" i="5"/>
  <c r="R8" i="5"/>
  <c r="Q8" i="5"/>
  <c r="P8" i="5"/>
  <c r="O8" i="5"/>
  <c r="N8" i="5"/>
  <c r="M8" i="5"/>
  <c r="L8" i="5"/>
  <c r="K8" i="5"/>
  <c r="J8" i="5"/>
  <c r="I8" i="5"/>
  <c r="H8" i="5"/>
  <c r="D8" i="5"/>
  <c r="Z7" i="5"/>
  <c r="Y7" i="5"/>
  <c r="X7" i="5"/>
  <c r="W7" i="5"/>
  <c r="V7" i="5"/>
  <c r="U7" i="5"/>
  <c r="T7" i="5"/>
  <c r="S7" i="5"/>
  <c r="R7" i="5"/>
  <c r="Q7" i="5"/>
  <c r="P7" i="5"/>
  <c r="O7" i="5"/>
  <c r="N7" i="5"/>
  <c r="M7" i="5"/>
  <c r="L7" i="5"/>
  <c r="K7" i="5"/>
  <c r="J7" i="5"/>
  <c r="I7" i="5"/>
  <c r="H7" i="5"/>
  <c r="D7" i="5"/>
  <c r="Z6" i="5"/>
  <c r="Y6" i="5"/>
  <c r="X6" i="5"/>
  <c r="W6" i="5"/>
  <c r="V6" i="5"/>
  <c r="U6" i="5"/>
  <c r="T6" i="5"/>
  <c r="S6" i="5"/>
  <c r="R6" i="5"/>
  <c r="Q6" i="5"/>
  <c r="P6" i="5"/>
  <c r="O6" i="5"/>
  <c r="N6" i="5"/>
  <c r="M6" i="5"/>
  <c r="L6" i="5"/>
  <c r="K6" i="5"/>
  <c r="J6" i="5"/>
  <c r="I6" i="5"/>
  <c r="H6" i="5"/>
  <c r="D6" i="5"/>
  <c r="Z5" i="5"/>
  <c r="Z23" i="5" s="1"/>
  <c r="Y5" i="5"/>
  <c r="Y23" i="5" s="1"/>
  <c r="X5" i="5"/>
  <c r="X23" i="5" s="1"/>
  <c r="X24" i="5" s="1"/>
  <c r="W5" i="5"/>
  <c r="V5" i="5"/>
  <c r="V23" i="5" s="1"/>
  <c r="U5" i="5"/>
  <c r="U23" i="5" s="1"/>
  <c r="P24" i="5" s="1"/>
  <c r="T5" i="5"/>
  <c r="T23" i="5" s="1"/>
  <c r="O24" i="5" s="1"/>
  <c r="S5" i="5"/>
  <c r="R5" i="5"/>
  <c r="R23" i="5" s="1"/>
  <c r="Q5" i="5"/>
  <c r="Q23" i="5" s="1"/>
  <c r="L24" i="5" s="1"/>
  <c r="P5" i="5"/>
  <c r="P23" i="5" s="1"/>
  <c r="K24" i="5" s="1"/>
  <c r="O5" i="5"/>
  <c r="N5" i="5"/>
  <c r="N23" i="5" s="1"/>
  <c r="M5" i="5"/>
  <c r="M23" i="5" s="1"/>
  <c r="H24" i="5" s="1"/>
  <c r="L5" i="5"/>
  <c r="L23" i="5" s="1"/>
  <c r="K5" i="5"/>
  <c r="J5" i="5"/>
  <c r="J23" i="5" s="1"/>
  <c r="I5" i="5"/>
  <c r="I23" i="5" s="1"/>
  <c r="D24" i="5" s="1"/>
  <c r="H5" i="5"/>
  <c r="H23" i="5" s="1"/>
  <c r="D5" i="5"/>
  <c r="Z4" i="5"/>
  <c r="Z27" i="5" s="1"/>
  <c r="Y4" i="5"/>
  <c r="Y27" i="5" s="1"/>
  <c r="X4" i="5"/>
  <c r="X27" i="5" s="1"/>
  <c r="X28" i="5" s="1"/>
  <c r="W4" i="5"/>
  <c r="V4" i="5"/>
  <c r="V27" i="5" s="1"/>
  <c r="U4" i="5"/>
  <c r="U27" i="5" s="1"/>
  <c r="P28" i="5" s="1"/>
  <c r="T4" i="5"/>
  <c r="T27" i="5" s="1"/>
  <c r="S4" i="5"/>
  <c r="R4" i="5"/>
  <c r="R27" i="5" s="1"/>
  <c r="Q4" i="5"/>
  <c r="Q27" i="5" s="1"/>
  <c r="L28" i="5" s="1"/>
  <c r="P4" i="5"/>
  <c r="P27" i="5" s="1"/>
  <c r="O4" i="5"/>
  <c r="N4" i="5"/>
  <c r="N27" i="5" s="1"/>
  <c r="M4" i="5"/>
  <c r="M27" i="5" s="1"/>
  <c r="L4" i="5"/>
  <c r="L27" i="5" s="1"/>
  <c r="K4" i="5"/>
  <c r="J4" i="5"/>
  <c r="J27" i="5" s="1"/>
  <c r="I4" i="5"/>
  <c r="I27" i="5" s="1"/>
  <c r="H4" i="5"/>
  <c r="D4" i="5"/>
  <c r="H2" i="5"/>
  <c r="Z37" i="4"/>
  <c r="Y37" i="4"/>
  <c r="X37" i="4"/>
  <c r="W37" i="4"/>
  <c r="V37" i="4"/>
  <c r="U37" i="4"/>
  <c r="T37" i="4"/>
  <c r="S37" i="4"/>
  <c r="R37" i="4"/>
  <c r="Q37" i="4"/>
  <c r="P37" i="4"/>
  <c r="O37" i="4"/>
  <c r="N37" i="4"/>
  <c r="M37" i="4"/>
  <c r="L37" i="4"/>
  <c r="K37" i="4"/>
  <c r="J37" i="4"/>
  <c r="I37" i="4"/>
  <c r="H37" i="4"/>
  <c r="D37" i="4"/>
  <c r="Z36" i="4"/>
  <c r="Y36" i="4"/>
  <c r="X36" i="4"/>
  <c r="W36" i="4"/>
  <c r="V36" i="4"/>
  <c r="U36" i="4"/>
  <c r="T36" i="4"/>
  <c r="S36" i="4"/>
  <c r="R36" i="4"/>
  <c r="Q36" i="4"/>
  <c r="P36" i="4"/>
  <c r="O36" i="4"/>
  <c r="N36" i="4"/>
  <c r="M36" i="4"/>
  <c r="L36" i="4"/>
  <c r="K36" i="4"/>
  <c r="J36" i="4"/>
  <c r="I36" i="4"/>
  <c r="H36" i="4"/>
  <c r="D36" i="4"/>
  <c r="Z35" i="4"/>
  <c r="Y35" i="4"/>
  <c r="X35" i="4"/>
  <c r="W35" i="4"/>
  <c r="V35" i="4"/>
  <c r="U35" i="4"/>
  <c r="T35" i="4"/>
  <c r="S35" i="4"/>
  <c r="R35" i="4"/>
  <c r="Q35" i="4"/>
  <c r="P35" i="4"/>
  <c r="O35" i="4"/>
  <c r="N35" i="4"/>
  <c r="M35" i="4"/>
  <c r="L35" i="4"/>
  <c r="K35" i="4"/>
  <c r="J35" i="4"/>
  <c r="I35" i="4"/>
  <c r="H35" i="4"/>
  <c r="D35" i="4"/>
  <c r="Z34" i="4"/>
  <c r="Y34" i="4"/>
  <c r="X34" i="4"/>
  <c r="W34" i="4"/>
  <c r="V34" i="4"/>
  <c r="U34" i="4"/>
  <c r="T34" i="4"/>
  <c r="S34" i="4"/>
  <c r="R34" i="4"/>
  <c r="Q34" i="4"/>
  <c r="P34" i="4"/>
  <c r="O34" i="4"/>
  <c r="N34" i="4"/>
  <c r="M34" i="4"/>
  <c r="L34" i="4"/>
  <c r="K34" i="4"/>
  <c r="J34" i="4"/>
  <c r="I34" i="4"/>
  <c r="H34" i="4"/>
  <c r="D34" i="4"/>
  <c r="Z33" i="4"/>
  <c r="Y33" i="4"/>
  <c r="X33" i="4"/>
  <c r="W33" i="4"/>
  <c r="V33" i="4"/>
  <c r="U33" i="4"/>
  <c r="T33" i="4"/>
  <c r="S33" i="4"/>
  <c r="R33" i="4"/>
  <c r="Q33" i="4"/>
  <c r="P33" i="4"/>
  <c r="O33" i="4"/>
  <c r="N33" i="4"/>
  <c r="M33" i="4"/>
  <c r="L33" i="4"/>
  <c r="K33" i="4"/>
  <c r="J33" i="4"/>
  <c r="I33" i="4"/>
  <c r="H33" i="4"/>
  <c r="D33" i="4"/>
  <c r="Z32" i="4"/>
  <c r="Y32" i="4"/>
  <c r="X32" i="4"/>
  <c r="W32" i="4"/>
  <c r="V32" i="4"/>
  <c r="U32" i="4"/>
  <c r="T32" i="4"/>
  <c r="S32" i="4"/>
  <c r="R32" i="4"/>
  <c r="Q32" i="4"/>
  <c r="P32" i="4"/>
  <c r="O32" i="4"/>
  <c r="N32" i="4"/>
  <c r="M32" i="4"/>
  <c r="L32" i="4"/>
  <c r="K32" i="4"/>
  <c r="J32" i="4"/>
  <c r="I32" i="4"/>
  <c r="H32" i="4"/>
  <c r="D32" i="4"/>
  <c r="N28" i="4"/>
  <c r="V27" i="4"/>
  <c r="R27" i="4"/>
  <c r="N27" i="4"/>
  <c r="V26" i="4"/>
  <c r="Z25" i="4"/>
  <c r="Y25" i="4"/>
  <c r="Y26" i="4" s="1"/>
  <c r="X25" i="4"/>
  <c r="X26" i="4" s="1"/>
  <c r="W25" i="4"/>
  <c r="W26" i="4" s="1"/>
  <c r="V25" i="4"/>
  <c r="Q26" i="4" s="1"/>
  <c r="U25" i="4"/>
  <c r="T25" i="4"/>
  <c r="T26" i="4" s="1"/>
  <c r="S25" i="4"/>
  <c r="R25" i="4"/>
  <c r="Q25" i="4"/>
  <c r="P25" i="4"/>
  <c r="P26" i="4" s="1"/>
  <c r="O25" i="4"/>
  <c r="N25" i="4"/>
  <c r="M25" i="4"/>
  <c r="L25" i="4"/>
  <c r="L26" i="4" s="1"/>
  <c r="K25" i="4"/>
  <c r="J25" i="4"/>
  <c r="J26" i="4" s="1"/>
  <c r="I25" i="4"/>
  <c r="D26" i="4" s="1"/>
  <c r="H25" i="4"/>
  <c r="H26" i="4" s="1"/>
  <c r="D25" i="4"/>
  <c r="Z24" i="4"/>
  <c r="V24" i="4"/>
  <c r="Z23" i="4"/>
  <c r="V23" i="4"/>
  <c r="R23" i="4"/>
  <c r="M24" i="4" s="1"/>
  <c r="N23" i="4"/>
  <c r="I24" i="4" s="1"/>
  <c r="J23" i="4"/>
  <c r="Z21" i="4"/>
  <c r="Z27" i="4" s="1"/>
  <c r="Y21" i="4"/>
  <c r="X21" i="4"/>
  <c r="W21" i="4"/>
  <c r="V21" i="4"/>
  <c r="U21" i="4"/>
  <c r="T21" i="4"/>
  <c r="S21" i="4"/>
  <c r="R21" i="4"/>
  <c r="Q21" i="4"/>
  <c r="P21" i="4"/>
  <c r="O21" i="4"/>
  <c r="N21" i="4"/>
  <c r="M21" i="4"/>
  <c r="L21" i="4"/>
  <c r="K21" i="4"/>
  <c r="J21" i="4"/>
  <c r="J27" i="4" s="1"/>
  <c r="J28" i="4" s="1"/>
  <c r="I21" i="4"/>
  <c r="H21" i="4"/>
  <c r="D21" i="4"/>
  <c r="Z16" i="4"/>
  <c r="Y16" i="4"/>
  <c r="X16" i="4"/>
  <c r="W16" i="4"/>
  <c r="V16" i="4"/>
  <c r="U16" i="4"/>
  <c r="T16" i="4"/>
  <c r="S16" i="4"/>
  <c r="R16" i="4"/>
  <c r="Q16" i="4"/>
  <c r="P16" i="4"/>
  <c r="O16" i="4"/>
  <c r="N16" i="4"/>
  <c r="M16" i="4"/>
  <c r="L16" i="4"/>
  <c r="K16" i="4"/>
  <c r="J16" i="4"/>
  <c r="I16" i="4"/>
  <c r="H16" i="4"/>
  <c r="D16" i="4"/>
  <c r="Z15" i="4"/>
  <c r="Y15" i="4"/>
  <c r="X15" i="4"/>
  <c r="W15" i="4"/>
  <c r="V15" i="4"/>
  <c r="U15" i="4"/>
  <c r="T15" i="4"/>
  <c r="S15" i="4"/>
  <c r="R15" i="4"/>
  <c r="Q15" i="4"/>
  <c r="P15" i="4"/>
  <c r="O15" i="4"/>
  <c r="N15" i="4"/>
  <c r="M15" i="4"/>
  <c r="L15" i="4"/>
  <c r="K15" i="4"/>
  <c r="J15" i="4"/>
  <c r="I15" i="4"/>
  <c r="H15" i="4"/>
  <c r="D15" i="4"/>
  <c r="Z14" i="4"/>
  <c r="Y14" i="4"/>
  <c r="X14" i="4"/>
  <c r="W14" i="4"/>
  <c r="V14" i="4"/>
  <c r="U14" i="4"/>
  <c r="T14" i="4"/>
  <c r="S14" i="4"/>
  <c r="R14" i="4"/>
  <c r="Q14" i="4"/>
  <c r="P14" i="4"/>
  <c r="O14" i="4"/>
  <c r="N14" i="4"/>
  <c r="M14" i="4"/>
  <c r="L14" i="4"/>
  <c r="K14" i="4"/>
  <c r="J14" i="4"/>
  <c r="I14" i="4"/>
  <c r="H14" i="4"/>
  <c r="D14" i="4"/>
  <c r="Z13" i="4"/>
  <c r="Y13" i="4"/>
  <c r="X13" i="4"/>
  <c r="W13" i="4"/>
  <c r="V13" i="4"/>
  <c r="U13" i="4"/>
  <c r="T13" i="4"/>
  <c r="S13" i="4"/>
  <c r="R13" i="4"/>
  <c r="Q13" i="4"/>
  <c r="P13" i="4"/>
  <c r="O13" i="4"/>
  <c r="N13" i="4"/>
  <c r="M13" i="4"/>
  <c r="L13" i="4"/>
  <c r="K13" i="4"/>
  <c r="J13" i="4"/>
  <c r="I13" i="4"/>
  <c r="H13" i="4"/>
  <c r="D13" i="4"/>
  <c r="Z12" i="4"/>
  <c r="Y12" i="4"/>
  <c r="X12" i="4"/>
  <c r="W12" i="4"/>
  <c r="V12" i="4"/>
  <c r="U12" i="4"/>
  <c r="T12" i="4"/>
  <c r="S12" i="4"/>
  <c r="R12" i="4"/>
  <c r="Q12" i="4"/>
  <c r="P12" i="4"/>
  <c r="O12" i="4"/>
  <c r="N12" i="4"/>
  <c r="M12" i="4"/>
  <c r="L12" i="4"/>
  <c r="K12" i="4"/>
  <c r="J12" i="4"/>
  <c r="I12" i="4"/>
  <c r="H12" i="4"/>
  <c r="D12" i="4"/>
  <c r="Z11" i="4"/>
  <c r="Y11" i="4"/>
  <c r="X11" i="4"/>
  <c r="W11" i="4"/>
  <c r="V11" i="4"/>
  <c r="U11" i="4"/>
  <c r="T11" i="4"/>
  <c r="S11" i="4"/>
  <c r="R11" i="4"/>
  <c r="Q11" i="4"/>
  <c r="P11" i="4"/>
  <c r="O11" i="4"/>
  <c r="N11" i="4"/>
  <c r="M11" i="4"/>
  <c r="L11" i="4"/>
  <c r="K11" i="4"/>
  <c r="J11" i="4"/>
  <c r="I11" i="4"/>
  <c r="H11" i="4"/>
  <c r="D11" i="4"/>
  <c r="Z9" i="4"/>
  <c r="Y9" i="4"/>
  <c r="X9" i="4"/>
  <c r="W9" i="4"/>
  <c r="V9" i="4"/>
  <c r="U9" i="4"/>
  <c r="T9" i="4"/>
  <c r="S9" i="4"/>
  <c r="R9" i="4"/>
  <c r="Q9" i="4"/>
  <c r="P9" i="4"/>
  <c r="O9" i="4"/>
  <c r="N9" i="4"/>
  <c r="M9" i="4"/>
  <c r="L9" i="4"/>
  <c r="K9" i="4"/>
  <c r="J9" i="4"/>
  <c r="I9" i="4"/>
  <c r="D9" i="4"/>
  <c r="H9" i="4" s="1"/>
  <c r="Z8" i="4"/>
  <c r="Y8" i="4"/>
  <c r="X8" i="4"/>
  <c r="W8" i="4"/>
  <c r="V8" i="4"/>
  <c r="U8" i="4"/>
  <c r="T8" i="4"/>
  <c r="S8" i="4"/>
  <c r="R8" i="4"/>
  <c r="Q8" i="4"/>
  <c r="P8" i="4"/>
  <c r="O8" i="4"/>
  <c r="N8" i="4"/>
  <c r="M8" i="4"/>
  <c r="L8" i="4"/>
  <c r="K8" i="4"/>
  <c r="J8" i="4"/>
  <c r="I8" i="4"/>
  <c r="D8" i="4"/>
  <c r="H8" i="4" s="1"/>
  <c r="Z7" i="4"/>
  <c r="Y7" i="4"/>
  <c r="X7" i="4"/>
  <c r="W7" i="4"/>
  <c r="V7" i="4"/>
  <c r="U7" i="4"/>
  <c r="T7" i="4"/>
  <c r="S7" i="4"/>
  <c r="R7" i="4"/>
  <c r="Q7" i="4"/>
  <c r="P7" i="4"/>
  <c r="O7" i="4"/>
  <c r="N7" i="4"/>
  <c r="M7" i="4"/>
  <c r="L7" i="4"/>
  <c r="K7" i="4"/>
  <c r="J7" i="4"/>
  <c r="I7" i="4"/>
  <c r="D7" i="4"/>
  <c r="H7" i="4" s="1"/>
  <c r="Z6" i="4"/>
  <c r="Y6" i="4"/>
  <c r="X6" i="4"/>
  <c r="W6" i="4"/>
  <c r="V6" i="4"/>
  <c r="U6" i="4"/>
  <c r="T6" i="4"/>
  <c r="S6" i="4"/>
  <c r="R6" i="4"/>
  <c r="Q6" i="4"/>
  <c r="P6" i="4"/>
  <c r="O6" i="4"/>
  <c r="N6" i="4"/>
  <c r="M6" i="4"/>
  <c r="L6" i="4"/>
  <c r="K6" i="4"/>
  <c r="J6" i="4"/>
  <c r="I6" i="4"/>
  <c r="D6" i="4"/>
  <c r="H6" i="4" s="1"/>
  <c r="Z5" i="4"/>
  <c r="Y5" i="4"/>
  <c r="Y23" i="4" s="1"/>
  <c r="X5" i="4"/>
  <c r="X23" i="4" s="1"/>
  <c r="W5" i="4"/>
  <c r="W23" i="4" s="1"/>
  <c r="V5" i="4"/>
  <c r="U5" i="4"/>
  <c r="U23" i="4" s="1"/>
  <c r="P24" i="4" s="1"/>
  <c r="T5" i="4"/>
  <c r="T23" i="4" s="1"/>
  <c r="S5" i="4"/>
  <c r="S23" i="4" s="1"/>
  <c r="N24" i="4" s="1"/>
  <c r="R5" i="4"/>
  <c r="Q5" i="4"/>
  <c r="Q23" i="4" s="1"/>
  <c r="L24" i="4" s="1"/>
  <c r="P5" i="4"/>
  <c r="P23" i="4" s="1"/>
  <c r="O5" i="4"/>
  <c r="O23" i="4" s="1"/>
  <c r="J24" i="4" s="1"/>
  <c r="N5" i="4"/>
  <c r="M5" i="4"/>
  <c r="M23" i="4" s="1"/>
  <c r="L5" i="4"/>
  <c r="L23" i="4" s="1"/>
  <c r="K5" i="4"/>
  <c r="K23" i="4" s="1"/>
  <c r="J5" i="4"/>
  <c r="I5" i="4"/>
  <c r="I23" i="4" s="1"/>
  <c r="D5" i="4"/>
  <c r="Z4" i="4"/>
  <c r="Y4" i="4"/>
  <c r="Y27" i="4" s="1"/>
  <c r="X4" i="4"/>
  <c r="X27" i="4" s="1"/>
  <c r="W4" i="4"/>
  <c r="W27" i="4" s="1"/>
  <c r="W28" i="4" s="1"/>
  <c r="V4" i="4"/>
  <c r="U4" i="4"/>
  <c r="U27" i="4" s="1"/>
  <c r="P28" i="4" s="1"/>
  <c r="T4" i="4"/>
  <c r="T27" i="4" s="1"/>
  <c r="O28" i="4" s="1"/>
  <c r="S4" i="4"/>
  <c r="S27" i="4" s="1"/>
  <c r="R4" i="4"/>
  <c r="Q4" i="4"/>
  <c r="Q27" i="4" s="1"/>
  <c r="L28" i="4" s="1"/>
  <c r="P4" i="4"/>
  <c r="P27" i="4" s="1"/>
  <c r="K28" i="4" s="1"/>
  <c r="O4" i="4"/>
  <c r="O27" i="4" s="1"/>
  <c r="N4" i="4"/>
  <c r="M4" i="4"/>
  <c r="M27" i="4" s="1"/>
  <c r="L4" i="4"/>
  <c r="L27" i="4" s="1"/>
  <c r="K4" i="4"/>
  <c r="K27" i="4" s="1"/>
  <c r="J4" i="4"/>
  <c r="I4" i="4"/>
  <c r="I27" i="4" s="1"/>
  <c r="D4" i="4"/>
  <c r="H2" i="4"/>
  <c r="H20" i="4" s="1"/>
  <c r="Z37" i="3"/>
  <c r="Y37" i="3"/>
  <c r="X37" i="3"/>
  <c r="W37" i="3"/>
  <c r="V37" i="3"/>
  <c r="U37" i="3"/>
  <c r="T37" i="3"/>
  <c r="S37" i="3"/>
  <c r="R37" i="3"/>
  <c r="Q37" i="3"/>
  <c r="P37" i="3"/>
  <c r="O37" i="3"/>
  <c r="N37" i="3"/>
  <c r="M37" i="3"/>
  <c r="L37" i="3"/>
  <c r="K37" i="3"/>
  <c r="J37" i="3"/>
  <c r="I37" i="3"/>
  <c r="H37" i="3"/>
  <c r="D37" i="3"/>
  <c r="Z36" i="3"/>
  <c r="Y36" i="3"/>
  <c r="X36" i="3"/>
  <c r="W36" i="3"/>
  <c r="V36" i="3"/>
  <c r="U36" i="3"/>
  <c r="T36" i="3"/>
  <c r="S36" i="3"/>
  <c r="R36" i="3"/>
  <c r="Q36" i="3"/>
  <c r="P36" i="3"/>
  <c r="O36" i="3"/>
  <c r="N36" i="3"/>
  <c r="M36" i="3"/>
  <c r="L36" i="3"/>
  <c r="K36" i="3"/>
  <c r="J36" i="3"/>
  <c r="I36" i="3"/>
  <c r="H36" i="3"/>
  <c r="D36" i="3"/>
  <c r="Z35" i="3"/>
  <c r="Y35" i="3"/>
  <c r="X35" i="3"/>
  <c r="W35" i="3"/>
  <c r="V35" i="3"/>
  <c r="U35" i="3"/>
  <c r="T35" i="3"/>
  <c r="S35" i="3"/>
  <c r="R35" i="3"/>
  <c r="Q35" i="3"/>
  <c r="P35" i="3"/>
  <c r="O35" i="3"/>
  <c r="N35" i="3"/>
  <c r="M35" i="3"/>
  <c r="L35" i="3"/>
  <c r="K35" i="3"/>
  <c r="J35" i="3"/>
  <c r="I35" i="3"/>
  <c r="D35" i="3"/>
  <c r="H35" i="3" s="1"/>
  <c r="Z34" i="3"/>
  <c r="Y34" i="3"/>
  <c r="X34" i="3"/>
  <c r="W34" i="3"/>
  <c r="V34" i="3"/>
  <c r="U34" i="3"/>
  <c r="T34" i="3"/>
  <c r="S34" i="3"/>
  <c r="R34" i="3"/>
  <c r="Q34" i="3"/>
  <c r="P34" i="3"/>
  <c r="O34" i="3"/>
  <c r="N34" i="3"/>
  <c r="M34" i="3"/>
  <c r="L34" i="3"/>
  <c r="K34" i="3"/>
  <c r="J34" i="3"/>
  <c r="I34" i="3"/>
  <c r="D34" i="3"/>
  <c r="H34" i="3" s="1"/>
  <c r="Z33" i="3"/>
  <c r="Y33" i="3"/>
  <c r="X33" i="3"/>
  <c r="W33" i="3"/>
  <c r="V33" i="3"/>
  <c r="U33" i="3"/>
  <c r="T33" i="3"/>
  <c r="S33" i="3"/>
  <c r="R33" i="3"/>
  <c r="Q33" i="3"/>
  <c r="P33" i="3"/>
  <c r="O33" i="3"/>
  <c r="N33" i="3"/>
  <c r="M33" i="3"/>
  <c r="L33" i="3"/>
  <c r="K33" i="3"/>
  <c r="J33" i="3"/>
  <c r="I33" i="3"/>
  <c r="D33" i="3"/>
  <c r="H33" i="3" s="1"/>
  <c r="Z32" i="3"/>
  <c r="Y32" i="3"/>
  <c r="X32" i="3"/>
  <c r="W32" i="3"/>
  <c r="V32" i="3"/>
  <c r="U32" i="3"/>
  <c r="T32" i="3"/>
  <c r="S32" i="3"/>
  <c r="R32" i="3"/>
  <c r="Q32" i="3"/>
  <c r="P32" i="3"/>
  <c r="O32" i="3"/>
  <c r="N32" i="3"/>
  <c r="M32" i="3"/>
  <c r="L32" i="3"/>
  <c r="K32" i="3"/>
  <c r="J32" i="3"/>
  <c r="I32" i="3"/>
  <c r="D32" i="3"/>
  <c r="H32" i="3" s="1"/>
  <c r="W27" i="3"/>
  <c r="W28" i="3" s="1"/>
  <c r="R27" i="3"/>
  <c r="M28" i="3" s="1"/>
  <c r="P26" i="3"/>
  <c r="K26" i="3"/>
  <c r="Z25" i="3"/>
  <c r="U26" i="3" s="1"/>
  <c r="Y25" i="3"/>
  <c r="Y26" i="3" s="1"/>
  <c r="X25" i="3"/>
  <c r="X26" i="3" s="1"/>
  <c r="W25" i="3"/>
  <c r="W26" i="3" s="1"/>
  <c r="V25" i="3"/>
  <c r="Q26" i="3" s="1"/>
  <c r="U25" i="3"/>
  <c r="T25" i="3"/>
  <c r="T26" i="3" s="1"/>
  <c r="S25" i="3"/>
  <c r="R25" i="3"/>
  <c r="M26" i="3" s="1"/>
  <c r="Q25" i="3"/>
  <c r="P25" i="3"/>
  <c r="O25" i="3"/>
  <c r="N25" i="3"/>
  <c r="I26" i="3" s="1"/>
  <c r="M25" i="3"/>
  <c r="L25" i="3"/>
  <c r="L26" i="3" s="1"/>
  <c r="K25" i="3"/>
  <c r="J25" i="3"/>
  <c r="J26" i="3" s="1"/>
  <c r="I25" i="3"/>
  <c r="H25" i="3"/>
  <c r="H26" i="3" s="1"/>
  <c r="D25" i="3"/>
  <c r="D26" i="3" s="1"/>
  <c r="X23" i="3"/>
  <c r="X24" i="3" s="1"/>
  <c r="T23" i="3"/>
  <c r="S23" i="3"/>
  <c r="N24" i="3" s="1"/>
  <c r="P23" i="3"/>
  <c r="L23" i="3"/>
  <c r="H23" i="3"/>
  <c r="Z21" i="3"/>
  <c r="Y21" i="3"/>
  <c r="X21" i="3"/>
  <c r="X27" i="3" s="1"/>
  <c r="W21" i="3"/>
  <c r="V21" i="3"/>
  <c r="U21" i="3"/>
  <c r="T21" i="3"/>
  <c r="T27" i="3" s="1"/>
  <c r="S21" i="3"/>
  <c r="R21" i="3"/>
  <c r="Q21" i="3"/>
  <c r="P21" i="3"/>
  <c r="P27" i="3" s="1"/>
  <c r="O21" i="3"/>
  <c r="N21" i="3"/>
  <c r="M21" i="3"/>
  <c r="L21" i="3"/>
  <c r="L27" i="3" s="1"/>
  <c r="K21" i="3"/>
  <c r="J21" i="3"/>
  <c r="I21" i="3"/>
  <c r="H21" i="3"/>
  <c r="D21" i="3"/>
  <c r="Z16" i="3"/>
  <c r="Y16" i="3"/>
  <c r="X16" i="3"/>
  <c r="W16" i="3"/>
  <c r="V16" i="3"/>
  <c r="U16" i="3"/>
  <c r="T16" i="3"/>
  <c r="S16" i="3"/>
  <c r="R16" i="3"/>
  <c r="Q16" i="3"/>
  <c r="P16" i="3"/>
  <c r="O16" i="3"/>
  <c r="N16" i="3"/>
  <c r="M16" i="3"/>
  <c r="L16" i="3"/>
  <c r="K16" i="3"/>
  <c r="J16" i="3"/>
  <c r="I16" i="3"/>
  <c r="D16" i="3"/>
  <c r="H16" i="3" s="1"/>
  <c r="Z15" i="3"/>
  <c r="Y15" i="3"/>
  <c r="X15" i="3"/>
  <c r="W15" i="3"/>
  <c r="V15" i="3"/>
  <c r="U15" i="3"/>
  <c r="T15" i="3"/>
  <c r="S15" i="3"/>
  <c r="R15" i="3"/>
  <c r="Q15" i="3"/>
  <c r="P15" i="3"/>
  <c r="O15" i="3"/>
  <c r="N15" i="3"/>
  <c r="M15" i="3"/>
  <c r="L15" i="3"/>
  <c r="K15" i="3"/>
  <c r="J15" i="3"/>
  <c r="I15" i="3"/>
  <c r="D15" i="3"/>
  <c r="H15" i="3" s="1"/>
  <c r="Z14" i="3"/>
  <c r="Y14" i="3"/>
  <c r="X14" i="3"/>
  <c r="W14" i="3"/>
  <c r="V14" i="3"/>
  <c r="U14" i="3"/>
  <c r="T14" i="3"/>
  <c r="S14" i="3"/>
  <c r="R14" i="3"/>
  <c r="Q14" i="3"/>
  <c r="P14" i="3"/>
  <c r="O14" i="3"/>
  <c r="N14" i="3"/>
  <c r="M14" i="3"/>
  <c r="L14" i="3"/>
  <c r="K14" i="3"/>
  <c r="J14" i="3"/>
  <c r="I14" i="3"/>
  <c r="D14" i="3"/>
  <c r="H14" i="3" s="1"/>
  <c r="Z13" i="3"/>
  <c r="Y13" i="3"/>
  <c r="X13" i="3"/>
  <c r="W13" i="3"/>
  <c r="V13" i="3"/>
  <c r="U13" i="3"/>
  <c r="T13" i="3"/>
  <c r="S13" i="3"/>
  <c r="R13" i="3"/>
  <c r="Q13" i="3"/>
  <c r="P13" i="3"/>
  <c r="O13" i="3"/>
  <c r="N13" i="3"/>
  <c r="M13" i="3"/>
  <c r="L13" i="3"/>
  <c r="K13" i="3"/>
  <c r="J13" i="3"/>
  <c r="I13" i="3"/>
  <c r="D13" i="3"/>
  <c r="H13" i="3" s="1"/>
  <c r="Z12" i="3"/>
  <c r="Y12" i="3"/>
  <c r="X12" i="3"/>
  <c r="W12" i="3"/>
  <c r="V12" i="3"/>
  <c r="U12" i="3"/>
  <c r="T12" i="3"/>
  <c r="S12" i="3"/>
  <c r="R12" i="3"/>
  <c r="Q12" i="3"/>
  <c r="P12" i="3"/>
  <c r="O12" i="3"/>
  <c r="N12" i="3"/>
  <c r="M12" i="3"/>
  <c r="L12" i="3"/>
  <c r="K12" i="3"/>
  <c r="J12" i="3"/>
  <c r="I12" i="3"/>
  <c r="D12" i="3"/>
  <c r="H12" i="3" s="1"/>
  <c r="Z11" i="3"/>
  <c r="Y11" i="3"/>
  <c r="X11" i="3"/>
  <c r="W11" i="3"/>
  <c r="V11" i="3"/>
  <c r="U11" i="3"/>
  <c r="T11" i="3"/>
  <c r="S11" i="3"/>
  <c r="R11" i="3"/>
  <c r="Q11" i="3"/>
  <c r="P11" i="3"/>
  <c r="O11" i="3"/>
  <c r="N11" i="3"/>
  <c r="M11" i="3"/>
  <c r="L11" i="3"/>
  <c r="K11" i="3"/>
  <c r="J11" i="3"/>
  <c r="I11" i="3"/>
  <c r="D11" i="3"/>
  <c r="H11" i="3" s="1"/>
  <c r="Z9" i="3"/>
  <c r="Y9" i="3"/>
  <c r="X9" i="3"/>
  <c r="W9" i="3"/>
  <c r="V9" i="3"/>
  <c r="U9" i="3"/>
  <c r="T9" i="3"/>
  <c r="S9" i="3"/>
  <c r="R9" i="3"/>
  <c r="Q9" i="3"/>
  <c r="P9" i="3"/>
  <c r="O9" i="3"/>
  <c r="N9" i="3"/>
  <c r="M9" i="3"/>
  <c r="L9" i="3"/>
  <c r="K9" i="3"/>
  <c r="J9" i="3"/>
  <c r="I9" i="3"/>
  <c r="D9" i="3"/>
  <c r="H9" i="3" s="1"/>
  <c r="Z8" i="3"/>
  <c r="Y8" i="3"/>
  <c r="X8" i="3"/>
  <c r="W8" i="3"/>
  <c r="V8" i="3"/>
  <c r="U8" i="3"/>
  <c r="T8" i="3"/>
  <c r="S8" i="3"/>
  <c r="R8" i="3"/>
  <c r="Q8" i="3"/>
  <c r="P8" i="3"/>
  <c r="O8" i="3"/>
  <c r="N8" i="3"/>
  <c r="M8" i="3"/>
  <c r="L8" i="3"/>
  <c r="K8" i="3"/>
  <c r="J8" i="3"/>
  <c r="I8" i="3"/>
  <c r="D8" i="3"/>
  <c r="H8" i="3" s="1"/>
  <c r="Z7" i="3"/>
  <c r="Y7" i="3"/>
  <c r="X7" i="3"/>
  <c r="W7" i="3"/>
  <c r="V7" i="3"/>
  <c r="U7" i="3"/>
  <c r="T7" i="3"/>
  <c r="S7" i="3"/>
  <c r="R7" i="3"/>
  <c r="Q7" i="3"/>
  <c r="P7" i="3"/>
  <c r="O7" i="3"/>
  <c r="N7" i="3"/>
  <c r="M7" i="3"/>
  <c r="L7" i="3"/>
  <c r="K7" i="3"/>
  <c r="J7" i="3"/>
  <c r="I7" i="3"/>
  <c r="D7" i="3"/>
  <c r="H7" i="3" s="1"/>
  <c r="Z6" i="3"/>
  <c r="Y6" i="3"/>
  <c r="X6" i="3"/>
  <c r="W6" i="3"/>
  <c r="V6" i="3"/>
  <c r="V23" i="3" s="1"/>
  <c r="U6" i="3"/>
  <c r="T6" i="3"/>
  <c r="S6" i="3"/>
  <c r="R6" i="3"/>
  <c r="Q6" i="3"/>
  <c r="P6" i="3"/>
  <c r="O6" i="3"/>
  <c r="N6" i="3"/>
  <c r="N23" i="3" s="1"/>
  <c r="I24" i="3" s="1"/>
  <c r="M6" i="3"/>
  <c r="L6" i="3"/>
  <c r="K6" i="3"/>
  <c r="J6" i="3"/>
  <c r="I6" i="3"/>
  <c r="D6" i="3"/>
  <c r="H6" i="3" s="1"/>
  <c r="Z5" i="3"/>
  <c r="Z23" i="3" s="1"/>
  <c r="Y5" i="3"/>
  <c r="Y23" i="3" s="1"/>
  <c r="Y24" i="3" s="1"/>
  <c r="X5" i="3"/>
  <c r="W5" i="3"/>
  <c r="W23" i="3" s="1"/>
  <c r="V5" i="3"/>
  <c r="U5" i="3"/>
  <c r="U23" i="3" s="1"/>
  <c r="P24" i="3" s="1"/>
  <c r="T5" i="3"/>
  <c r="S5" i="3"/>
  <c r="R5" i="3"/>
  <c r="R23" i="3" s="1"/>
  <c r="M24" i="3" s="1"/>
  <c r="Q5" i="3"/>
  <c r="Q23" i="3" s="1"/>
  <c r="L24" i="3" s="1"/>
  <c r="P5" i="3"/>
  <c r="O5" i="3"/>
  <c r="O23" i="3" s="1"/>
  <c r="N5" i="3"/>
  <c r="M5" i="3"/>
  <c r="M23" i="3" s="1"/>
  <c r="H24" i="3" s="1"/>
  <c r="L5" i="3"/>
  <c r="K5" i="3"/>
  <c r="K23" i="3" s="1"/>
  <c r="J5" i="3"/>
  <c r="J23" i="3" s="1"/>
  <c r="I5" i="3"/>
  <c r="I23" i="3" s="1"/>
  <c r="D5" i="3"/>
  <c r="H5" i="3" s="1"/>
  <c r="Z4" i="3"/>
  <c r="Z27" i="3" s="1"/>
  <c r="Y4" i="3"/>
  <c r="Y27" i="3" s="1"/>
  <c r="Y28" i="3" s="1"/>
  <c r="X4" i="3"/>
  <c r="W4" i="3"/>
  <c r="V4" i="3"/>
  <c r="V27" i="3" s="1"/>
  <c r="U4" i="3"/>
  <c r="U27" i="3" s="1"/>
  <c r="T4" i="3"/>
  <c r="S4" i="3"/>
  <c r="S27" i="3" s="1"/>
  <c r="R4" i="3"/>
  <c r="Q4" i="3"/>
  <c r="Q27" i="3" s="1"/>
  <c r="L28" i="3" s="1"/>
  <c r="P4" i="3"/>
  <c r="O4" i="3"/>
  <c r="O27" i="3" s="1"/>
  <c r="N4" i="3"/>
  <c r="N27" i="3" s="1"/>
  <c r="I28" i="3" s="1"/>
  <c r="M4" i="3"/>
  <c r="M27" i="3" s="1"/>
  <c r="L4" i="3"/>
  <c r="K4" i="3"/>
  <c r="K27" i="3" s="1"/>
  <c r="J4" i="3"/>
  <c r="J27" i="3" s="1"/>
  <c r="I4" i="3"/>
  <c r="I27" i="3" s="1"/>
  <c r="D4" i="3"/>
  <c r="H4" i="3" s="1"/>
  <c r="H27" i="3" s="1"/>
  <c r="H28" i="3" s="1"/>
  <c r="H2" i="3"/>
  <c r="Z37" i="2"/>
  <c r="Y37" i="2"/>
  <c r="X37" i="2"/>
  <c r="W37" i="2"/>
  <c r="V37" i="2"/>
  <c r="U37" i="2"/>
  <c r="T37" i="2"/>
  <c r="S37" i="2"/>
  <c r="R37" i="2"/>
  <c r="Q37" i="2"/>
  <c r="P37" i="2"/>
  <c r="O37" i="2"/>
  <c r="N37" i="2"/>
  <c r="M37" i="2"/>
  <c r="L37" i="2"/>
  <c r="K37" i="2"/>
  <c r="J37" i="2"/>
  <c r="I37" i="2"/>
  <c r="H37" i="2"/>
  <c r="D37" i="2"/>
  <c r="Z36" i="2"/>
  <c r="Y36" i="2"/>
  <c r="X36" i="2"/>
  <c r="W36" i="2"/>
  <c r="V36" i="2"/>
  <c r="U36" i="2"/>
  <c r="T36" i="2"/>
  <c r="S36" i="2"/>
  <c r="R36" i="2"/>
  <c r="Q36" i="2"/>
  <c r="P36" i="2"/>
  <c r="O36" i="2"/>
  <c r="N36" i="2"/>
  <c r="M36" i="2"/>
  <c r="L36" i="2"/>
  <c r="K36" i="2"/>
  <c r="J36" i="2"/>
  <c r="I36" i="2"/>
  <c r="H36" i="2"/>
  <c r="D36" i="2"/>
  <c r="Z35" i="2"/>
  <c r="Y35" i="2"/>
  <c r="X35" i="2"/>
  <c r="W35" i="2"/>
  <c r="V35" i="2"/>
  <c r="U35" i="2"/>
  <c r="T35" i="2"/>
  <c r="S35" i="2"/>
  <c r="R35" i="2"/>
  <c r="Q35" i="2"/>
  <c r="P35" i="2"/>
  <c r="O35" i="2"/>
  <c r="N35" i="2"/>
  <c r="M35" i="2"/>
  <c r="L35" i="2"/>
  <c r="K35" i="2"/>
  <c r="J35" i="2"/>
  <c r="I35" i="2"/>
  <c r="D35" i="2"/>
  <c r="H35" i="2" s="1"/>
  <c r="Z34" i="2"/>
  <c r="Y34" i="2"/>
  <c r="X34" i="2"/>
  <c r="W34" i="2"/>
  <c r="V34" i="2"/>
  <c r="U34" i="2"/>
  <c r="T34" i="2"/>
  <c r="S34" i="2"/>
  <c r="R34" i="2"/>
  <c r="Q34" i="2"/>
  <c r="P34" i="2"/>
  <c r="O34" i="2"/>
  <c r="N34" i="2"/>
  <c r="M34" i="2"/>
  <c r="L34" i="2"/>
  <c r="K34" i="2"/>
  <c r="J34" i="2"/>
  <c r="I34" i="2"/>
  <c r="D34" i="2"/>
  <c r="H34" i="2" s="1"/>
  <c r="Z33" i="2"/>
  <c r="Y33" i="2"/>
  <c r="X33" i="2"/>
  <c r="W33" i="2"/>
  <c r="V33" i="2"/>
  <c r="U33" i="2"/>
  <c r="T33" i="2"/>
  <c r="S33" i="2"/>
  <c r="R33" i="2"/>
  <c r="Q33" i="2"/>
  <c r="P33" i="2"/>
  <c r="O33" i="2"/>
  <c r="N33" i="2"/>
  <c r="M33" i="2"/>
  <c r="L33" i="2"/>
  <c r="K33" i="2"/>
  <c r="J33" i="2"/>
  <c r="I33" i="2"/>
  <c r="D33" i="2"/>
  <c r="H33" i="2" s="1"/>
  <c r="Z32" i="2"/>
  <c r="Y32" i="2"/>
  <c r="X32" i="2"/>
  <c r="W32" i="2"/>
  <c r="V32" i="2"/>
  <c r="U32" i="2"/>
  <c r="T32" i="2"/>
  <c r="S32" i="2"/>
  <c r="R32" i="2"/>
  <c r="Q32" i="2"/>
  <c r="P32" i="2"/>
  <c r="O32" i="2"/>
  <c r="N32" i="2"/>
  <c r="M32" i="2"/>
  <c r="L32" i="2"/>
  <c r="K32" i="2"/>
  <c r="J32" i="2"/>
  <c r="I32" i="2"/>
  <c r="D32" i="2"/>
  <c r="H32" i="2" s="1"/>
  <c r="O27" i="2"/>
  <c r="J28" i="2" s="1"/>
  <c r="Y26" i="2"/>
  <c r="W26" i="2"/>
  <c r="S26" i="2"/>
  <c r="Z25" i="2"/>
  <c r="Z26" i="2" s="1"/>
  <c r="Y25" i="2"/>
  <c r="X25" i="2"/>
  <c r="X26" i="2" s="1"/>
  <c r="W25" i="2"/>
  <c r="V25" i="2"/>
  <c r="V26" i="2" s="1"/>
  <c r="U25" i="2"/>
  <c r="T25" i="2"/>
  <c r="O26" i="2" s="1"/>
  <c r="S25" i="2"/>
  <c r="R25" i="2"/>
  <c r="R26" i="2" s="1"/>
  <c r="Q25" i="2"/>
  <c r="P25" i="2"/>
  <c r="K26" i="2" s="1"/>
  <c r="O25" i="2"/>
  <c r="N25" i="2"/>
  <c r="I26" i="2" s="1"/>
  <c r="M25" i="2"/>
  <c r="L25" i="2"/>
  <c r="L26" i="2" s="1"/>
  <c r="K25" i="2"/>
  <c r="J25" i="2"/>
  <c r="J26" i="2" s="1"/>
  <c r="I25" i="2"/>
  <c r="D26" i="2" s="1"/>
  <c r="H25" i="2"/>
  <c r="H26" i="2" s="1"/>
  <c r="D25" i="2"/>
  <c r="Z23" i="2"/>
  <c r="U24" i="2" s="1"/>
  <c r="V23" i="2"/>
  <c r="Q24" i="2" s="1"/>
  <c r="R23" i="2"/>
  <c r="N23" i="2"/>
  <c r="I24" i="2" s="1"/>
  <c r="J23" i="2"/>
  <c r="Z21" i="2"/>
  <c r="Z27" i="2" s="1"/>
  <c r="Y21" i="2"/>
  <c r="X21" i="2"/>
  <c r="W21" i="2"/>
  <c r="V21" i="2"/>
  <c r="U21" i="2"/>
  <c r="T21" i="2"/>
  <c r="S21" i="2"/>
  <c r="R21" i="2"/>
  <c r="R27" i="2" s="1"/>
  <c r="M28" i="2" s="1"/>
  <c r="Q21" i="2"/>
  <c r="P21" i="2"/>
  <c r="O21" i="2"/>
  <c r="N21" i="2"/>
  <c r="M21" i="2"/>
  <c r="L21" i="2"/>
  <c r="K21" i="2"/>
  <c r="J21" i="2"/>
  <c r="J27" i="2" s="1"/>
  <c r="I21" i="2"/>
  <c r="H21" i="2"/>
  <c r="D21" i="2"/>
  <c r="Z16" i="2"/>
  <c r="Y16" i="2"/>
  <c r="X16" i="2"/>
  <c r="W16" i="2"/>
  <c r="V16" i="2"/>
  <c r="U16" i="2"/>
  <c r="T16" i="2"/>
  <c r="S16" i="2"/>
  <c r="R16" i="2"/>
  <c r="Q16" i="2"/>
  <c r="P16" i="2"/>
  <c r="O16" i="2"/>
  <c r="N16" i="2"/>
  <c r="M16" i="2"/>
  <c r="L16" i="2"/>
  <c r="K16" i="2"/>
  <c r="J16" i="2"/>
  <c r="I16" i="2"/>
  <c r="H16" i="2"/>
  <c r="D16" i="2"/>
  <c r="Z15" i="2"/>
  <c r="Y15" i="2"/>
  <c r="X15" i="2"/>
  <c r="W15" i="2"/>
  <c r="V15" i="2"/>
  <c r="U15" i="2"/>
  <c r="T15" i="2"/>
  <c r="S15" i="2"/>
  <c r="R15" i="2"/>
  <c r="Q15" i="2"/>
  <c r="P15" i="2"/>
  <c r="O15" i="2"/>
  <c r="N15" i="2"/>
  <c r="M15" i="2"/>
  <c r="L15" i="2"/>
  <c r="K15" i="2"/>
  <c r="J15" i="2"/>
  <c r="I15" i="2"/>
  <c r="H15" i="2"/>
  <c r="D15" i="2"/>
  <c r="Z14" i="2"/>
  <c r="Y14" i="2"/>
  <c r="X14" i="2"/>
  <c r="W14" i="2"/>
  <c r="V14" i="2"/>
  <c r="U14" i="2"/>
  <c r="T14" i="2"/>
  <c r="S14" i="2"/>
  <c r="R14" i="2"/>
  <c r="Q14" i="2"/>
  <c r="P14" i="2"/>
  <c r="O14" i="2"/>
  <c r="N14" i="2"/>
  <c r="M14" i="2"/>
  <c r="L14" i="2"/>
  <c r="K14" i="2"/>
  <c r="J14" i="2"/>
  <c r="I14" i="2"/>
  <c r="H14" i="2"/>
  <c r="D14" i="2"/>
  <c r="Z13" i="2"/>
  <c r="Y13" i="2"/>
  <c r="X13" i="2"/>
  <c r="W13" i="2"/>
  <c r="V13" i="2"/>
  <c r="U13" i="2"/>
  <c r="T13" i="2"/>
  <c r="S13" i="2"/>
  <c r="R13" i="2"/>
  <c r="Q13" i="2"/>
  <c r="P13" i="2"/>
  <c r="O13" i="2"/>
  <c r="N13" i="2"/>
  <c r="M13" i="2"/>
  <c r="L13" i="2"/>
  <c r="K13" i="2"/>
  <c r="J13" i="2"/>
  <c r="I13" i="2"/>
  <c r="H13" i="2"/>
  <c r="D13" i="2"/>
  <c r="Z12" i="2"/>
  <c r="Y12" i="2"/>
  <c r="X12" i="2"/>
  <c r="W12" i="2"/>
  <c r="V12" i="2"/>
  <c r="U12" i="2"/>
  <c r="T12" i="2"/>
  <c r="S12" i="2"/>
  <c r="R12" i="2"/>
  <c r="Q12" i="2"/>
  <c r="P12" i="2"/>
  <c r="O12" i="2"/>
  <c r="N12" i="2"/>
  <c r="M12" i="2"/>
  <c r="L12" i="2"/>
  <c r="K12" i="2"/>
  <c r="J12" i="2"/>
  <c r="I12" i="2"/>
  <c r="H12" i="2"/>
  <c r="D12" i="2"/>
  <c r="Z11" i="2"/>
  <c r="Y11" i="2"/>
  <c r="X11" i="2"/>
  <c r="W11" i="2"/>
  <c r="V11" i="2"/>
  <c r="U11" i="2"/>
  <c r="T11" i="2"/>
  <c r="S11" i="2"/>
  <c r="R11" i="2"/>
  <c r="Q11" i="2"/>
  <c r="P11" i="2"/>
  <c r="O11" i="2"/>
  <c r="N11" i="2"/>
  <c r="M11" i="2"/>
  <c r="L11" i="2"/>
  <c r="K11" i="2"/>
  <c r="J11" i="2"/>
  <c r="I11" i="2"/>
  <c r="H11" i="2"/>
  <c r="D11" i="2"/>
  <c r="Z9" i="2"/>
  <c r="Y9" i="2"/>
  <c r="X9" i="2"/>
  <c r="W9" i="2"/>
  <c r="V9" i="2"/>
  <c r="U9" i="2"/>
  <c r="T9" i="2"/>
  <c r="S9" i="2"/>
  <c r="R9" i="2"/>
  <c r="Q9" i="2"/>
  <c r="P9" i="2"/>
  <c r="O9" i="2"/>
  <c r="N9" i="2"/>
  <c r="M9" i="2"/>
  <c r="L9" i="2"/>
  <c r="K9" i="2"/>
  <c r="J9" i="2"/>
  <c r="I9" i="2"/>
  <c r="H9" i="2"/>
  <c r="D9" i="2"/>
  <c r="Z8" i="2"/>
  <c r="Y8" i="2"/>
  <c r="X8" i="2"/>
  <c r="W8" i="2"/>
  <c r="V8" i="2"/>
  <c r="U8" i="2"/>
  <c r="T8" i="2"/>
  <c r="S8" i="2"/>
  <c r="R8" i="2"/>
  <c r="Q8" i="2"/>
  <c r="P8" i="2"/>
  <c r="O8" i="2"/>
  <c r="N8" i="2"/>
  <c r="M8" i="2"/>
  <c r="L8" i="2"/>
  <c r="K8" i="2"/>
  <c r="J8" i="2"/>
  <c r="I8" i="2"/>
  <c r="H8" i="2"/>
  <c r="D8" i="2"/>
  <c r="Z7" i="2"/>
  <c r="Y7" i="2"/>
  <c r="X7" i="2"/>
  <c r="W7" i="2"/>
  <c r="V7" i="2"/>
  <c r="U7" i="2"/>
  <c r="T7" i="2"/>
  <c r="S7" i="2"/>
  <c r="R7" i="2"/>
  <c r="Q7" i="2"/>
  <c r="P7" i="2"/>
  <c r="O7" i="2"/>
  <c r="N7" i="2"/>
  <c r="M7" i="2"/>
  <c r="L7" i="2"/>
  <c r="K7" i="2"/>
  <c r="J7" i="2"/>
  <c r="I7" i="2"/>
  <c r="H7" i="2"/>
  <c r="D7" i="2"/>
  <c r="Z6" i="2"/>
  <c r="Y6" i="2"/>
  <c r="X6" i="2"/>
  <c r="W6" i="2"/>
  <c r="V6" i="2"/>
  <c r="U6" i="2"/>
  <c r="T6" i="2"/>
  <c r="S6" i="2"/>
  <c r="R6" i="2"/>
  <c r="Q6" i="2"/>
  <c r="P6" i="2"/>
  <c r="O6" i="2"/>
  <c r="N6" i="2"/>
  <c r="M6" i="2"/>
  <c r="L6" i="2"/>
  <c r="K6" i="2"/>
  <c r="J6" i="2"/>
  <c r="I6" i="2"/>
  <c r="H6" i="2"/>
  <c r="D6" i="2"/>
  <c r="Z5" i="2"/>
  <c r="Y5" i="2"/>
  <c r="Y23" i="2" s="1"/>
  <c r="X5" i="2"/>
  <c r="X23" i="2" s="1"/>
  <c r="W5" i="2"/>
  <c r="W23" i="2" s="1"/>
  <c r="V5" i="2"/>
  <c r="U5" i="2"/>
  <c r="U23" i="2" s="1"/>
  <c r="T5" i="2"/>
  <c r="T23" i="2" s="1"/>
  <c r="S5" i="2"/>
  <c r="S23" i="2" s="1"/>
  <c r="N24" i="2" s="1"/>
  <c r="R5" i="2"/>
  <c r="Q5" i="2"/>
  <c r="Q23" i="2" s="1"/>
  <c r="P5" i="2"/>
  <c r="P23" i="2" s="1"/>
  <c r="O5" i="2"/>
  <c r="O23" i="2" s="1"/>
  <c r="J24" i="2" s="1"/>
  <c r="N5" i="2"/>
  <c r="M5" i="2"/>
  <c r="M23" i="2" s="1"/>
  <c r="L5" i="2"/>
  <c r="L23" i="2" s="1"/>
  <c r="K5" i="2"/>
  <c r="K23" i="2" s="1"/>
  <c r="J5" i="2"/>
  <c r="I5" i="2"/>
  <c r="I23" i="2" s="1"/>
  <c r="H5" i="2"/>
  <c r="H23" i="2" s="1"/>
  <c r="D5" i="2"/>
  <c r="D23" i="2" s="1"/>
  <c r="Z4" i="2"/>
  <c r="Y4" i="2"/>
  <c r="Y27" i="2" s="1"/>
  <c r="X4" i="2"/>
  <c r="X27" i="2" s="1"/>
  <c r="X28" i="2" s="1"/>
  <c r="W4" i="2"/>
  <c r="W27" i="2" s="1"/>
  <c r="V4" i="2"/>
  <c r="V27" i="2" s="1"/>
  <c r="U4" i="2"/>
  <c r="U27" i="2" s="1"/>
  <c r="P28" i="2" s="1"/>
  <c r="T4" i="2"/>
  <c r="T27" i="2" s="1"/>
  <c r="O28" i="2" s="1"/>
  <c r="S4" i="2"/>
  <c r="S27" i="2" s="1"/>
  <c r="N28" i="2" s="1"/>
  <c r="R4" i="2"/>
  <c r="Q4" i="2"/>
  <c r="Q27" i="2" s="1"/>
  <c r="L28" i="2" s="1"/>
  <c r="P4" i="2"/>
  <c r="P27" i="2" s="1"/>
  <c r="O4" i="2"/>
  <c r="N4" i="2"/>
  <c r="N27" i="2" s="1"/>
  <c r="I28" i="2" s="1"/>
  <c r="M4" i="2"/>
  <c r="M27" i="2" s="1"/>
  <c r="H28" i="2" s="1"/>
  <c r="L4" i="2"/>
  <c r="L27" i="2" s="1"/>
  <c r="K4" i="2"/>
  <c r="K27" i="2" s="1"/>
  <c r="J4" i="2"/>
  <c r="I4" i="2"/>
  <c r="I27" i="2" s="1"/>
  <c r="H4" i="2"/>
  <c r="H27" i="2" s="1"/>
  <c r="D4" i="2"/>
  <c r="D27" i="2" s="1"/>
  <c r="H2" i="2"/>
  <c r="H20" i="2" s="1"/>
  <c r="M37" i="1"/>
  <c r="L37" i="1"/>
  <c r="K37" i="1"/>
  <c r="J37" i="1"/>
  <c r="I37" i="1"/>
  <c r="H37" i="1"/>
  <c r="D37" i="1"/>
  <c r="M36" i="1"/>
  <c r="L36" i="1"/>
  <c r="K36" i="1"/>
  <c r="J36" i="1"/>
  <c r="I36" i="1"/>
  <c r="H36" i="1"/>
  <c r="D36" i="1"/>
  <c r="M35" i="1"/>
  <c r="L35" i="1"/>
  <c r="K35" i="1"/>
  <c r="J35" i="1"/>
  <c r="I35" i="1"/>
  <c r="H35" i="1"/>
  <c r="D35" i="1"/>
  <c r="M34" i="1"/>
  <c r="L34" i="1"/>
  <c r="K34" i="1"/>
  <c r="J34" i="1"/>
  <c r="I34" i="1"/>
  <c r="H34" i="1"/>
  <c r="D34" i="1"/>
  <c r="M33" i="1"/>
  <c r="L33" i="1"/>
  <c r="K33" i="1"/>
  <c r="J33" i="1"/>
  <c r="I33" i="1"/>
  <c r="D33" i="1"/>
  <c r="H33" i="1" s="1"/>
  <c r="M32" i="1"/>
  <c r="L32" i="1"/>
  <c r="K32" i="1"/>
  <c r="J32" i="1"/>
  <c r="I32" i="1"/>
  <c r="D32" i="1"/>
  <c r="H32" i="1" s="1"/>
  <c r="L26" i="1"/>
  <c r="K26" i="1"/>
  <c r="D26" i="1"/>
  <c r="M25" i="1"/>
  <c r="M26" i="1" s="1"/>
  <c r="L25" i="1"/>
  <c r="K25" i="1"/>
  <c r="J25" i="1"/>
  <c r="J26" i="1" s="1"/>
  <c r="I25" i="1"/>
  <c r="I26" i="1" s="1"/>
  <c r="D25" i="1"/>
  <c r="H25" i="1" s="1"/>
  <c r="H26" i="1" s="1"/>
  <c r="L23" i="1"/>
  <c r="L24" i="1" s="1"/>
  <c r="M21" i="1"/>
  <c r="L21" i="1"/>
  <c r="K21" i="1"/>
  <c r="J21" i="1"/>
  <c r="I21" i="1"/>
  <c r="D21" i="1"/>
  <c r="H21" i="1" s="1"/>
  <c r="M16" i="1"/>
  <c r="L16" i="1"/>
  <c r="K16" i="1"/>
  <c r="J16" i="1"/>
  <c r="I16" i="1"/>
  <c r="H16" i="1"/>
  <c r="D16" i="1"/>
  <c r="M15" i="1"/>
  <c r="L15" i="1"/>
  <c r="K15" i="1"/>
  <c r="J15" i="1"/>
  <c r="I15" i="1"/>
  <c r="H15" i="1"/>
  <c r="D15" i="1"/>
  <c r="M14" i="1"/>
  <c r="L14" i="1"/>
  <c r="K14" i="1"/>
  <c r="J14" i="1"/>
  <c r="I14" i="1"/>
  <c r="D14" i="1"/>
  <c r="H14" i="1" s="1"/>
  <c r="M13" i="1"/>
  <c r="L13" i="1"/>
  <c r="K13" i="1"/>
  <c r="J13" i="1"/>
  <c r="I13" i="1"/>
  <c r="D13" i="1"/>
  <c r="H13" i="1" s="1"/>
  <c r="M12" i="1"/>
  <c r="L12" i="1"/>
  <c r="K12" i="1"/>
  <c r="J12" i="1"/>
  <c r="I12" i="1"/>
  <c r="H12" i="1"/>
  <c r="D12" i="1"/>
  <c r="M11" i="1"/>
  <c r="L11" i="1"/>
  <c r="K11" i="1"/>
  <c r="J11" i="1"/>
  <c r="I11" i="1"/>
  <c r="H11" i="1"/>
  <c r="D11" i="1"/>
  <c r="M9" i="1"/>
  <c r="L9" i="1"/>
  <c r="K9" i="1"/>
  <c r="J9" i="1"/>
  <c r="I9" i="1"/>
  <c r="H9" i="1"/>
  <c r="D9" i="1"/>
  <c r="M8" i="1"/>
  <c r="L8" i="1"/>
  <c r="K8" i="1"/>
  <c r="J8" i="1"/>
  <c r="I8" i="1"/>
  <c r="H8" i="1"/>
  <c r="D8" i="1"/>
  <c r="M7" i="1"/>
  <c r="L7" i="1"/>
  <c r="K7" i="1"/>
  <c r="J7" i="1"/>
  <c r="I7" i="1"/>
  <c r="D7" i="1"/>
  <c r="H7" i="1" s="1"/>
  <c r="M6" i="1"/>
  <c r="L6" i="1"/>
  <c r="K6" i="1"/>
  <c r="K23" i="1" s="1"/>
  <c r="K24" i="1" s="1"/>
  <c r="J6" i="1"/>
  <c r="I6" i="1"/>
  <c r="D6" i="1"/>
  <c r="D23" i="1" s="1"/>
  <c r="M5" i="1"/>
  <c r="M23" i="1" s="1"/>
  <c r="L5" i="1"/>
  <c r="K5" i="1"/>
  <c r="J5" i="1"/>
  <c r="J23" i="1" s="1"/>
  <c r="J24" i="1" s="1"/>
  <c r="I5" i="1"/>
  <c r="I23" i="1" s="1"/>
  <c r="H5" i="1"/>
  <c r="D5" i="1"/>
  <c r="M4" i="1"/>
  <c r="M27" i="1" s="1"/>
  <c r="L4" i="1"/>
  <c r="L27" i="1" s="1"/>
  <c r="L28" i="1" s="1"/>
  <c r="K4" i="1"/>
  <c r="K27" i="1" s="1"/>
  <c r="K28" i="1" s="1"/>
  <c r="J4" i="1"/>
  <c r="J27" i="1" s="1"/>
  <c r="J28" i="1" s="1"/>
  <c r="I4" i="1"/>
  <c r="I27" i="1" s="1"/>
  <c r="H4" i="1"/>
  <c r="H27" i="1" s="1"/>
  <c r="D4" i="1"/>
  <c r="D27" i="1" s="1"/>
  <c r="H2" i="1"/>
  <c r="Y2" i="5"/>
  <c r="U2" i="5"/>
  <c r="Q2" i="5"/>
  <c r="M2" i="5"/>
  <c r="I2" i="5"/>
  <c r="X2" i="4"/>
  <c r="T2" i="4"/>
  <c r="P2" i="4"/>
  <c r="L2" i="4"/>
  <c r="X2" i="5"/>
  <c r="T2" i="5"/>
  <c r="P2" i="5"/>
  <c r="L2" i="5"/>
  <c r="W2" i="5"/>
  <c r="S2" i="5"/>
  <c r="O2" i="5"/>
  <c r="K2" i="5"/>
  <c r="D2" i="5"/>
  <c r="Z2" i="4"/>
  <c r="R2" i="5"/>
  <c r="U2" i="4"/>
  <c r="O2" i="4"/>
  <c r="J2" i="4"/>
  <c r="N2" i="5"/>
  <c r="Y2" i="4"/>
  <c r="S2" i="4"/>
  <c r="N2" i="4"/>
  <c r="I2" i="4"/>
  <c r="X2" i="3"/>
  <c r="T2" i="3"/>
  <c r="P2" i="3"/>
  <c r="L2" i="3"/>
  <c r="Z2" i="5"/>
  <c r="J2" i="5"/>
  <c r="R2" i="4"/>
  <c r="Z2" i="3"/>
  <c r="U2" i="3"/>
  <c r="O2" i="3"/>
  <c r="J2" i="3"/>
  <c r="V2" i="5"/>
  <c r="Q2" i="4"/>
  <c r="D2" i="4"/>
  <c r="Y2" i="3"/>
  <c r="S2" i="3"/>
  <c r="N2" i="3"/>
  <c r="I2" i="3"/>
  <c r="W2" i="2"/>
  <c r="S2" i="2"/>
  <c r="O2" i="2"/>
  <c r="K2" i="2"/>
  <c r="D2" i="2"/>
  <c r="J2" i="1"/>
  <c r="Y2" i="2"/>
  <c r="Q2" i="2"/>
  <c r="M2" i="2"/>
  <c r="T2" i="2"/>
  <c r="K2" i="1"/>
  <c r="W2" i="4"/>
  <c r="M2" i="4"/>
  <c r="W2" i="3"/>
  <c r="R2" i="3"/>
  <c r="M2" i="3"/>
  <c r="Z2" i="2"/>
  <c r="V2" i="2"/>
  <c r="R2" i="2"/>
  <c r="N2" i="2"/>
  <c r="J2" i="2"/>
  <c r="M2" i="1"/>
  <c r="I2" i="1"/>
  <c r="V2" i="3"/>
  <c r="Q2" i="3"/>
  <c r="K2" i="3"/>
  <c r="D2" i="3"/>
  <c r="U2" i="2"/>
  <c r="I2" i="2"/>
  <c r="L2" i="1"/>
  <c r="X2" i="2"/>
  <c r="P2" i="2"/>
  <c r="L2" i="2"/>
  <c r="V2" i="4"/>
  <c r="K2" i="4"/>
  <c r="D2" i="1"/>
  <c r="H20" i="5" l="1"/>
  <c r="H20" i="3"/>
  <c r="H20" i="1"/>
  <c r="D10" i="1"/>
  <c r="K20" i="4"/>
  <c r="V20" i="4"/>
  <c r="V10" i="4"/>
  <c r="L20" i="2"/>
  <c r="P20" i="2"/>
  <c r="X20" i="2"/>
  <c r="L10" i="1"/>
  <c r="I20" i="2"/>
  <c r="U20" i="2"/>
  <c r="D10" i="3"/>
  <c r="D20" i="3"/>
  <c r="K20" i="3"/>
  <c r="K10" i="3"/>
  <c r="Q20" i="3"/>
  <c r="V10" i="3"/>
  <c r="I20" i="1"/>
  <c r="M20" i="1"/>
  <c r="J10" i="2"/>
  <c r="J20" i="2"/>
  <c r="N20" i="2"/>
  <c r="N10" i="2"/>
  <c r="R10" i="2"/>
  <c r="R20" i="2"/>
  <c r="V20" i="2"/>
  <c r="V10" i="2"/>
  <c r="Z10" i="2"/>
  <c r="Z20" i="2"/>
  <c r="M20" i="3"/>
  <c r="R20" i="3"/>
  <c r="W20" i="3"/>
  <c r="M20" i="4"/>
  <c r="W20" i="4"/>
  <c r="K10" i="1"/>
  <c r="T20" i="2"/>
  <c r="M20" i="2"/>
  <c r="Q20" i="2"/>
  <c r="Y20" i="2"/>
  <c r="J20" i="1"/>
  <c r="D20" i="2"/>
  <c r="K20" i="2"/>
  <c r="O20" i="2"/>
  <c r="S20" i="2"/>
  <c r="W20" i="2"/>
  <c r="I20" i="3"/>
  <c r="N10" i="3"/>
  <c r="Y20" i="3"/>
  <c r="D20" i="4"/>
  <c r="Q20" i="4"/>
  <c r="V20" i="5"/>
  <c r="J10" i="3"/>
  <c r="J20" i="3"/>
  <c r="O20" i="3"/>
  <c r="U20" i="3"/>
  <c r="Z10" i="3"/>
  <c r="Z20" i="3"/>
  <c r="R10" i="4"/>
  <c r="R20" i="4"/>
  <c r="J20" i="5"/>
  <c r="Z20" i="5"/>
  <c r="L10" i="3"/>
  <c r="L20" i="3"/>
  <c r="P10" i="3"/>
  <c r="T10" i="3"/>
  <c r="X10" i="3"/>
  <c r="I20" i="4"/>
  <c r="N20" i="4"/>
  <c r="N10" i="4"/>
  <c r="S20" i="4"/>
  <c r="Y20" i="4"/>
  <c r="N20" i="5"/>
  <c r="J20" i="4"/>
  <c r="J10" i="4"/>
  <c r="O20" i="4"/>
  <c r="U20" i="4"/>
  <c r="R20" i="5"/>
  <c r="Z20" i="4"/>
  <c r="Z10" i="4"/>
  <c r="D20" i="5"/>
  <c r="K10" i="5"/>
  <c r="O10" i="5"/>
  <c r="S10" i="5"/>
  <c r="W10" i="5"/>
  <c r="W20" i="5"/>
  <c r="L20" i="5"/>
  <c r="P20" i="5"/>
  <c r="T20" i="5"/>
  <c r="X20" i="5"/>
  <c r="L20" i="4"/>
  <c r="L10" i="4"/>
  <c r="P20" i="4"/>
  <c r="P10" i="4"/>
  <c r="T20" i="4"/>
  <c r="T10" i="4"/>
  <c r="X20" i="4"/>
  <c r="X10" i="4"/>
  <c r="I20" i="5"/>
  <c r="M20" i="5"/>
  <c r="M10" i="5"/>
  <c r="Q20" i="5"/>
  <c r="Q10" i="5"/>
  <c r="U20" i="5"/>
  <c r="U10" i="5"/>
  <c r="Y20" i="5"/>
  <c r="Y10" i="5"/>
  <c r="H24" i="1"/>
  <c r="M24" i="1"/>
  <c r="W24" i="2"/>
  <c r="R24" i="2"/>
  <c r="O10" i="2"/>
  <c r="W10" i="2"/>
  <c r="U28" i="3"/>
  <c r="Z28" i="3"/>
  <c r="O24" i="3"/>
  <c r="J24" i="3"/>
  <c r="O10" i="3"/>
  <c r="W10" i="3"/>
  <c r="K24" i="2"/>
  <c r="X24" i="2"/>
  <c r="S24" i="2"/>
  <c r="T10" i="2"/>
  <c r="V20" i="3"/>
  <c r="I24" i="1"/>
  <c r="D24" i="1"/>
  <c r="W28" i="2"/>
  <c r="R28" i="2"/>
  <c r="D10" i="2"/>
  <c r="K10" i="2"/>
  <c r="S10" i="2"/>
  <c r="Q28" i="3"/>
  <c r="V28" i="3"/>
  <c r="W24" i="3"/>
  <c r="R24" i="3"/>
  <c r="S10" i="3"/>
  <c r="K24" i="3"/>
  <c r="D28" i="1"/>
  <c r="I28" i="1"/>
  <c r="H28" i="1"/>
  <c r="M28" i="1"/>
  <c r="K28" i="2"/>
  <c r="O24" i="2"/>
  <c r="L10" i="2"/>
  <c r="P10" i="2"/>
  <c r="X10" i="2"/>
  <c r="J28" i="3"/>
  <c r="N28" i="3"/>
  <c r="N20" i="3"/>
  <c r="J28" i="5"/>
  <c r="O28" i="5"/>
  <c r="I10" i="1"/>
  <c r="M10" i="1"/>
  <c r="K20" i="1"/>
  <c r="D28" i="2"/>
  <c r="T28" i="2"/>
  <c r="Y28" i="2"/>
  <c r="D24" i="2"/>
  <c r="H24" i="2"/>
  <c r="L24" i="2"/>
  <c r="P24" i="2"/>
  <c r="Y24" i="2"/>
  <c r="T24" i="2"/>
  <c r="I10" i="2"/>
  <c r="M10" i="2"/>
  <c r="Q10" i="2"/>
  <c r="U10" i="2"/>
  <c r="Y10" i="2"/>
  <c r="M24" i="2"/>
  <c r="Q24" i="3"/>
  <c r="V24" i="3"/>
  <c r="S20" i="3"/>
  <c r="J10" i="1"/>
  <c r="L20" i="1"/>
  <c r="V28" i="2"/>
  <c r="Q28" i="2"/>
  <c r="Z28" i="2"/>
  <c r="U28" i="2"/>
  <c r="U24" i="3"/>
  <c r="Z24" i="3"/>
  <c r="R10" i="3"/>
  <c r="P28" i="3"/>
  <c r="K28" i="3"/>
  <c r="O28" i="3"/>
  <c r="X28" i="3"/>
  <c r="S28" i="3"/>
  <c r="I10" i="3"/>
  <c r="M10" i="3"/>
  <c r="Q10" i="3"/>
  <c r="U10" i="3"/>
  <c r="Y10" i="3"/>
  <c r="T24" i="3"/>
  <c r="V26" i="3"/>
  <c r="D27" i="3"/>
  <c r="D28" i="3" s="1"/>
  <c r="W24" i="4"/>
  <c r="R24" i="4"/>
  <c r="K10" i="4"/>
  <c r="O10" i="4"/>
  <c r="S10" i="4"/>
  <c r="W10" i="4"/>
  <c r="D20" i="1"/>
  <c r="V24" i="2"/>
  <c r="Z24" i="2"/>
  <c r="N26" i="2"/>
  <c r="H6" i="1"/>
  <c r="H23" i="1" s="1"/>
  <c r="U26" i="2"/>
  <c r="X20" i="3"/>
  <c r="R26" i="3"/>
  <c r="T28" i="3"/>
  <c r="Y28" i="5"/>
  <c r="T28" i="5"/>
  <c r="Y24" i="5"/>
  <c r="T24" i="5"/>
  <c r="I10" i="5"/>
  <c r="Q26" i="2"/>
  <c r="S28" i="2"/>
  <c r="T20" i="3"/>
  <c r="N26" i="3"/>
  <c r="S26" i="3"/>
  <c r="M28" i="4"/>
  <c r="R28" i="4"/>
  <c r="P26" i="2"/>
  <c r="T26" i="2"/>
  <c r="M26" i="2"/>
  <c r="P20" i="3"/>
  <c r="D23" i="3"/>
  <c r="D24" i="3" s="1"/>
  <c r="S24" i="3"/>
  <c r="O26" i="3"/>
  <c r="Z26" i="3"/>
  <c r="R28" i="3"/>
  <c r="H28" i="4"/>
  <c r="Y28" i="4"/>
  <c r="T28" i="4"/>
  <c r="U28" i="4"/>
  <c r="Z28" i="4"/>
  <c r="I26" i="4"/>
  <c r="N26" i="4"/>
  <c r="M26" i="4"/>
  <c r="R26" i="4"/>
  <c r="U26" i="4"/>
  <c r="Z26" i="4"/>
  <c r="K27" i="5"/>
  <c r="K28" i="5" s="1"/>
  <c r="K20" i="5"/>
  <c r="O20" i="5"/>
  <c r="S20" i="5"/>
  <c r="S27" i="5"/>
  <c r="N28" i="5" s="1"/>
  <c r="R28" i="5"/>
  <c r="W28" i="5"/>
  <c r="R24" i="5"/>
  <c r="W24" i="5"/>
  <c r="Q28" i="4"/>
  <c r="I28" i="5"/>
  <c r="M28" i="5"/>
  <c r="V28" i="5"/>
  <c r="Q28" i="5"/>
  <c r="Z28" i="5"/>
  <c r="U28" i="5"/>
  <c r="I24" i="5"/>
  <c r="M24" i="5"/>
  <c r="V24" i="5"/>
  <c r="Q24" i="5"/>
  <c r="Z24" i="5"/>
  <c r="U24" i="5"/>
  <c r="J10" i="5"/>
  <c r="N10" i="5"/>
  <c r="R10" i="5"/>
  <c r="V10" i="5"/>
  <c r="Z10" i="5"/>
  <c r="W26" i="5"/>
  <c r="H5" i="4"/>
  <c r="H23" i="4" s="1"/>
  <c r="D23" i="4"/>
  <c r="D24" i="4" s="1"/>
  <c r="K24" i="4"/>
  <c r="O24" i="4"/>
  <c r="X24" i="4"/>
  <c r="S24" i="4"/>
  <c r="Q24" i="4"/>
  <c r="V28" i="4"/>
  <c r="D10" i="5"/>
  <c r="J24" i="5"/>
  <c r="D27" i="5"/>
  <c r="D28" i="5" s="1"/>
  <c r="S28" i="5"/>
  <c r="H4" i="4"/>
  <c r="H27" i="4" s="1"/>
  <c r="D27" i="4"/>
  <c r="D28" i="4" s="1"/>
  <c r="X28" i="4"/>
  <c r="S28" i="4"/>
  <c r="H24" i="4"/>
  <c r="Y24" i="4"/>
  <c r="T24" i="4"/>
  <c r="I10" i="4"/>
  <c r="M10" i="4"/>
  <c r="Q10" i="4"/>
  <c r="U10" i="4"/>
  <c r="Y10" i="4"/>
  <c r="U24" i="4"/>
  <c r="I28" i="4"/>
  <c r="H27" i="5"/>
  <c r="H28" i="5" s="1"/>
  <c r="L10" i="5"/>
  <c r="P10" i="5"/>
  <c r="T10" i="5"/>
  <c r="X10" i="5"/>
  <c r="N24" i="5"/>
  <c r="O26" i="5"/>
  <c r="K26" i="4"/>
  <c r="O26" i="4"/>
  <c r="S26" i="4"/>
  <c r="T26" i="5"/>
  <c r="D10" i="4"/>
  <c r="Q26" i="5"/>
  <c r="U26" i="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82">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futureMetadata>
  <valueMetadata count="8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valueMetadata>
</metadata>
</file>

<file path=xl/sharedStrings.xml><?xml version="1.0" encoding="utf-8"?>
<sst xmlns="http://schemas.openxmlformats.org/spreadsheetml/2006/main" count="1926" uniqueCount="610">
  <si>
    <t>AADI</t>
  </si>
  <si>
    <t>Q1</t>
  </si>
  <si>
    <t>tahun Berjalan</t>
  </si>
  <si>
    <t>LABA KOTOR</t>
  </si>
  <si>
    <t>Total Pendapatan</t>
  </si>
  <si>
    <t>BERSIH</t>
  </si>
  <si>
    <t>Pemilik Entitas Induk</t>
  </si>
  <si>
    <t>EQUITY</t>
  </si>
  <si>
    <t>Total Ekuitas</t>
  </si>
  <si>
    <t>SAHAM BEREDAR</t>
  </si>
  <si>
    <t>Share Outstanding</t>
  </si>
  <si>
    <t>Free cash flow (Quarter)</t>
  </si>
  <si>
    <t>FCF</t>
  </si>
  <si>
    <t>Free cash flow (Annual)</t>
  </si>
  <si>
    <t>Free cash flow per share (Quarter)</t>
  </si>
  <si>
    <t>Free cash flow per share (Annual)</t>
  </si>
  <si>
    <t>Price to Free Cash Flow (P/FCF)</t>
  </si>
  <si>
    <t>Total Kas</t>
  </si>
  <si>
    <t>Kas Dan Setara Kas</t>
  </si>
  <si>
    <t>Net Debt (Quarter)</t>
  </si>
  <si>
    <t>Net hutang sudah di kurangi kas</t>
  </si>
  <si>
    <t>Net Debt (Annual)</t>
  </si>
  <si>
    <t>Total Debt (Quarter)</t>
  </si>
  <si>
    <t>WACC</t>
  </si>
  <si>
    <t>Total Debt (Annual)</t>
  </si>
  <si>
    <t>Beban Keuangan</t>
  </si>
  <si>
    <t>Beban Pajak Penghasilan</t>
  </si>
  <si>
    <t>Laba Sebelum Pajak</t>
  </si>
  <si>
    <t>Cara Membaca P/FCF</t>
  </si>
  <si>
    <t>Rendah (misal &lt; 15)</t>
  </si>
  <si>
    <t>12M 2025</t>
  </si>
  <si>
    <t>12M 2024</t>
  </si>
  <si>
    <t>12M 2023</t>
  </si>
  <si>
    <t>12M 2022</t>
  </si>
  <si>
    <t>12M 2021</t>
  </si>
  <si>
    <t>Tinggi (misal &gt; 30)</t>
  </si>
  <si>
    <t>Dalam IDR</t>
  </si>
  <si>
    <t>FCF negatif — perusahaan belum menghasilkan kas bebas</t>
  </si>
  <si>
    <t>Market Cap</t>
  </si>
  <si>
    <t>MANUAL</t>
  </si>
  <si>
    <t>ROE</t>
  </si>
  <si>
    <t>ROE 5 Tahun</t>
  </si>
  <si>
    <t>EPS</t>
  </si>
  <si>
    <t>EPS (Annual)</t>
  </si>
  <si>
    <t>EPS Growth 5 Tahun</t>
  </si>
  <si>
    <t>SPS</t>
  </si>
  <si>
    <t>SPS Growth 5 Tahun</t>
  </si>
  <si>
    <t>Book Value Per Share (quarter)</t>
  </si>
  <si>
    <t>Book Value</t>
  </si>
  <si>
    <t>Book Value Per Share (Annual)</t>
  </si>
  <si>
    <t>Price to Book Value (quarter)</t>
  </si>
  <si>
    <t>PBV</t>
  </si>
  <si>
    <t>Price to Book Value (Annual)</t>
  </si>
  <si>
    <t>PE Ratio (quarter)</t>
  </si>
  <si>
    <t>PER</t>
  </si>
  <si>
    <t>PE Ratio (Annual)</t>
  </si>
  <si>
    <t>Price to Sales (Quarter)</t>
  </si>
  <si>
    <t>PSR</t>
  </si>
  <si>
    <t>Price to Sales (Annual)</t>
  </si>
  <si>
    <t>DPR</t>
  </si>
  <si>
    <t>Net Income - Payout Ratio</t>
  </si>
  <si>
    <t>DPS</t>
  </si>
  <si>
    <t>EPS - Div (TTM)</t>
  </si>
  <si>
    <t>Q1 2026</t>
  </si>
  <si>
    <t>Q4 2025</t>
  </si>
  <si>
    <t>Q3 2025</t>
  </si>
  <si>
    <t>Q2 2025</t>
  </si>
  <si>
    <t>2026</t>
  </si>
  <si>
    <t>Income Statement</t>
  </si>
  <si>
    <t>Total Beban Pokok Penjualan</t>
  </si>
  <si>
    <t>Laba Kotor</t>
  </si>
  <si>
    <t>Total Beban Usaha</t>
  </si>
  <si>
    <t>Beban Usaha</t>
  </si>
  <si>
    <t>Others</t>
  </si>
  <si>
    <t>Laba Usaha</t>
  </si>
  <si>
    <t>Penghasilan/Beban Lain-Lain</t>
  </si>
  <si>
    <t>Pendapatan Keuangan</t>
  </si>
  <si>
    <t>Bagian Atas Hasil Bersih ...</t>
  </si>
  <si>
    <t>Total Penghasilan/Beban Lain-...</t>
  </si>
  <si>
    <t>Laba Bersih Tahun Berjalan</t>
  </si>
  <si>
    <t>Pendapatan Komprehensif Lain</t>
  </si>
  <si>
    <t>Jumlah Laba Komprehensif</t>
  </si>
  <si>
    <t>Laba Bersih Yang Dapat Diatribu...</t>
  </si>
  <si>
    <t>Total Laba Bersih Yang Dapat ...</t>
  </si>
  <si>
    <t>Laba Komprehensif Yang Dapat Di...</t>
  </si>
  <si>
    <t>Total Laba Komprehensif Yang ...</t>
  </si>
  <si>
    <t>Balance Sheet</t>
  </si>
  <si>
    <t>Aset</t>
  </si>
  <si>
    <t>Aset Lancar</t>
  </si>
  <si>
    <t>Deposito Berjangka</t>
  </si>
  <si>
    <t>Piutang Usaha</t>
  </si>
  <si>
    <t>Pihak Berelasi</t>
  </si>
  <si>
    <t>Pihak Ketiga</t>
  </si>
  <si>
    <t>Total Piutang Usaha</t>
  </si>
  <si>
    <t>Persediaan</t>
  </si>
  <si>
    <t>Piutang Lain-Lain</t>
  </si>
  <si>
    <t>Total Piutang Lain-Lai...</t>
  </si>
  <si>
    <t>Total Aset Lancar</t>
  </si>
  <si>
    <t>Aset Tidak Lancar</t>
  </si>
  <si>
    <t>Properti Pertambangan</t>
  </si>
  <si>
    <t>Aset Tetap</t>
  </si>
  <si>
    <t>Goodwill</t>
  </si>
  <si>
    <t>Aset Tak Berwujud</t>
  </si>
  <si>
    <t>Aset Pajak Tangguhan</t>
  </si>
  <si>
    <t>Total Aset Tidak Lancar</t>
  </si>
  <si>
    <t>Total Aset</t>
  </si>
  <si>
    <t>Liabilitas Dan Ekuitas</t>
  </si>
  <si>
    <t>Liabilitas</t>
  </si>
  <si>
    <t>Liabilitas Jangka Pendek</t>
  </si>
  <si>
    <t>Utang Usaha</t>
  </si>
  <si>
    <t>Total Utang Usaha</t>
  </si>
  <si>
    <t>Beban Akrual</t>
  </si>
  <si>
    <t>Utang Pajak</t>
  </si>
  <si>
    <t>Total Utang Pajak</t>
  </si>
  <si>
    <t>Utang Royalti</t>
  </si>
  <si>
    <t>Bagian Lancar Atas Li...</t>
  </si>
  <si>
    <t>Utang Bank</t>
  </si>
  <si>
    <t>Utang Sewa Pembia...</t>
  </si>
  <si>
    <t>Total Bagian Lancar...</t>
  </si>
  <si>
    <t>Senior Notes</t>
  </si>
  <si>
    <t>Utang Lain-Lain</t>
  </si>
  <si>
    <t>Total Liabilitas Jangk...</t>
  </si>
  <si>
    <t>Liabilitas Jangka Panjan...</t>
  </si>
  <si>
    <t>Utang Dari Pihak Keti...</t>
  </si>
  <si>
    <t>Liabilitas Jangka Pan...</t>
  </si>
  <si>
    <t>Total Liabilitas Ja...</t>
  </si>
  <si>
    <t>Liabilitas Pajak Tang...</t>
  </si>
  <si>
    <t>Utang Jangka Panjang ...</t>
  </si>
  <si>
    <t>Total Liabilitas</t>
  </si>
  <si>
    <t>Ekuitas</t>
  </si>
  <si>
    <t>Modal Saham</t>
  </si>
  <si>
    <t>Tambahan Modal Disetor</t>
  </si>
  <si>
    <t>Saldo Laba</t>
  </si>
  <si>
    <t>Telah Ditentukan Peng...</t>
  </si>
  <si>
    <t>Belum Ditentukan Peng...</t>
  </si>
  <si>
    <t>Total Saldo Laba</t>
  </si>
  <si>
    <t>Kepentingan Non Pengenda...</t>
  </si>
  <si>
    <t>Total Liabilitas Dan Ekuitas</t>
  </si>
  <si>
    <t>Saham Beredar</t>
  </si>
  <si>
    <t>Cash Flow</t>
  </si>
  <si>
    <t>Arus Kas Dari Aktivitas Operasi</t>
  </si>
  <si>
    <t>Penerimaan Kas Dari Pelan...</t>
  </si>
  <si>
    <t>Penerimaan Bunga</t>
  </si>
  <si>
    <t>Pembayaran Kas Kepada Pem...</t>
  </si>
  <si>
    <t>Pembayaran Royalti</t>
  </si>
  <si>
    <t>Pembayaran Pajak Penghasi...</t>
  </si>
  <si>
    <t>Penerimaan Restitusi Paja...</t>
  </si>
  <si>
    <t>Penerimaan Pengembalian P...</t>
  </si>
  <si>
    <t>Pembayaran Kepada Karyawa...</t>
  </si>
  <si>
    <t>Pembayaran Pnbp Dan Penda...</t>
  </si>
  <si>
    <t>Pembayaran Bunga Dan Beba...</t>
  </si>
  <si>
    <t>Penerimaan/(Pembayaran) L...</t>
  </si>
  <si>
    <t>Total Arus Kas Dari Aktivitas...</t>
  </si>
  <si>
    <t>Arus Kas Dari Aktivitas Investa...</t>
  </si>
  <si>
    <t>Penerimaan Kas Dari Dives...</t>
  </si>
  <si>
    <t>Penerimaan Pembayaran Kem...</t>
  </si>
  <si>
    <t>Penerimaan Hasil Penjuala...</t>
  </si>
  <si>
    <t>Penerimaan Pencairan Depo...</t>
  </si>
  <si>
    <t>Hasil Penjualan Aset Teta...</t>
  </si>
  <si>
    <t>Pembayaran Atas Akuisisi ...</t>
  </si>
  <si>
    <t>Perolehan Aset Tetap</t>
  </si>
  <si>
    <t>Pembelian Investasi Lain-...</t>
  </si>
  <si>
    <t>Pemberian Pinjaman Pihak ...</t>
  </si>
  <si>
    <t>Penambahan Properti Perta...</t>
  </si>
  <si>
    <t>Penempatan Deposito Berja...</t>
  </si>
  <si>
    <t>Pembayaran Atas Aset Tida...</t>
  </si>
  <si>
    <t>Akuisisi Entitas Sepengen...</t>
  </si>
  <si>
    <t>Pembayaran Atas Penambaha...</t>
  </si>
  <si>
    <t>Pembelian Senior Notes</t>
  </si>
  <si>
    <t>Penerimaan Dividen Dari I...</t>
  </si>
  <si>
    <t>Penerimaan Dari Piutang L...</t>
  </si>
  <si>
    <t>Arus Kas Dari Aktivitas Pendana...</t>
  </si>
  <si>
    <t>Pembayaran Divivden Kepad...</t>
  </si>
  <si>
    <t>Pembayaran Dividen Kepada...</t>
  </si>
  <si>
    <t>Pembayaran Senior Notes</t>
  </si>
  <si>
    <t>Pembayaran Pinjaman Dari ...</t>
  </si>
  <si>
    <t>Pembayaran Utang Bank</t>
  </si>
  <si>
    <t>Pembayaran Utang Sewa Pem...</t>
  </si>
  <si>
    <t>Pembayaran Biaya Transaks...</t>
  </si>
  <si>
    <t>Penerimaan Pinjaman Dari ...</t>
  </si>
  <si>
    <t>Penerimaan Utang Bank</t>
  </si>
  <si>
    <t>Penerimaan Dari Kepenting...</t>
  </si>
  <si>
    <t>Akuisisi Kepentingan Pada...</t>
  </si>
  <si>
    <t>Penerimaan Setoran Modal ...</t>
  </si>
  <si>
    <t>Penerimaan Uang Muka Seto...</t>
  </si>
  <si>
    <t>Penerimaan Pembayaran Yan...</t>
  </si>
  <si>
    <t>Penerimaan Atas Penerbita...</t>
  </si>
  <si>
    <t>Pembayaran Biaya Emisi Sa...</t>
  </si>
  <si>
    <t>Kenaikan (Penurunan) Bersih Kas...</t>
  </si>
  <si>
    <t>Kas Dan Setara Kas Awal Periode</t>
  </si>
  <si>
    <t>Dampak Neto Perubahan Nilai Tuk...</t>
  </si>
  <si>
    <t>Kas Dan Setara Kas Akhir Period...</t>
  </si>
  <si>
    <t>Key Ratio</t>
  </si>
  <si>
    <t>EPS (Quarter)</t>
  </si>
  <si>
    <t>PE Ratio (Quarter)</t>
  </si>
  <si>
    <t>EBITDA (Quarter)</t>
  </si>
  <si>
    <t>Return on Assets (Quarter)</t>
  </si>
  <si>
    <t>Return on Equity (Quarter)</t>
  </si>
  <si>
    <t>Return on Capital Employed (Quarter)</t>
  </si>
  <si>
    <t>Interest Coverage (Quarter)</t>
  </si>
  <si>
    <t>Total Equity (Quarter)</t>
  </si>
  <si>
    <t>Price to Book Value (Quarter)</t>
  </si>
  <si>
    <t>Book Value Per Share (Quarter)</t>
  </si>
  <si>
    <t>Price to Tang. Book Value (Quarter)</t>
  </si>
  <si>
    <t>Tang. Book Value Per Share (Quarter)</t>
  </si>
  <si>
    <t>Short-term Debt (Quarter)</t>
  </si>
  <si>
    <t>Long-term Debt (Quarter)</t>
  </si>
  <si>
    <t>Common Equity</t>
  </si>
  <si>
    <t>Working Capital (Quarter)</t>
  </si>
  <si>
    <t>Operating Cash Flow (Quarter)</t>
  </si>
  <si>
    <t>Capital expenditure (Quarter)</t>
  </si>
  <si>
    <t>EBITDA (Annual)</t>
  </si>
  <si>
    <t>Return on Assets (Annual)</t>
  </si>
  <si>
    <t>Return on Equity (Annual)</t>
  </si>
  <si>
    <t>Return on Capital Employed (Annual)</t>
  </si>
  <si>
    <t>Interest Coverage (Annual)</t>
  </si>
  <si>
    <t>Price to Tang. Book Value (Annual)</t>
  </si>
  <si>
    <t>Tang. Book Value Per Share (Annual)</t>
  </si>
  <si>
    <t>Short-term Debt (Annual)</t>
  </si>
  <si>
    <t>Long-term Debt (Annual)</t>
  </si>
  <si>
    <t>Working capital (Annual)</t>
  </si>
  <si>
    <t>Operating Cash Flow (Annual)</t>
  </si>
  <si>
    <t>Capital expenditure (Annual)</t>
  </si>
  <si>
    <t>Key Stats</t>
  </si>
  <si>
    <t>Net Income</t>
  </si>
  <si>
    <t>Net Income - TTM (Q1)</t>
  </si>
  <si>
    <t>Net Income - Div (TTM)</t>
  </si>
  <si>
    <t>Net Income - Div Yield</t>
  </si>
  <si>
    <t>EPS - TTM (Q1)</t>
  </si>
  <si>
    <t>EPS - Payout Ratio</t>
  </si>
  <si>
    <t>EPS - Div Yield</t>
  </si>
  <si>
    <t>Revenue</t>
  </si>
  <si>
    <t>Revenue - TTM (Q1)</t>
  </si>
  <si>
    <t>Revenue - Div (TTM)</t>
  </si>
  <si>
    <t>Revenue - Payout Ratio</t>
  </si>
  <si>
    <t>Revenue - Div Yield</t>
  </si>
  <si>
    <t>Current PE Ratio (Annualised)</t>
  </si>
  <si>
    <t>Current PE Ratio (TTM)</t>
  </si>
  <si>
    <t>Forward PE Ratio</t>
  </si>
  <si>
    <t>IHSG PE Ratio TTM (Median)</t>
  </si>
  <si>
    <t>Earnings Yield (TTM)</t>
  </si>
  <si>
    <t>Current Price to Sales (TTM)</t>
  </si>
  <si>
    <t>Current Price to Book Value</t>
  </si>
  <si>
    <t>Current Price To Cashflow (TTM)</t>
  </si>
  <si>
    <t>Current Price To Free Cashflow (TTM)</t>
  </si>
  <si>
    <t>EV to EBIT (TTM)</t>
  </si>
  <si>
    <t>EV to EBITDA (TTM)</t>
  </si>
  <si>
    <t>PEG Ratio</t>
  </si>
  <si>
    <t>PEG Ratio (3yr)</t>
  </si>
  <si>
    <t>Current EPS (TTM)</t>
  </si>
  <si>
    <t>Current EPS (Annualised)</t>
  </si>
  <si>
    <t>Revenue Per Share (TTM)</t>
  </si>
  <si>
    <t>Cash Per Share (Quarter)</t>
  </si>
  <si>
    <t>Current Book Value Per Share</t>
  </si>
  <si>
    <t>Free Cashflow Per Share (TTM)</t>
  </si>
  <si>
    <t>Current Ratio (Quarter)</t>
  </si>
  <si>
    <t>Quick Ratio (Quarter)</t>
  </si>
  <si>
    <t>Debt to Equity Ratio (Quarter)</t>
  </si>
  <si>
    <t>LT Debt/Equity (Quarter)</t>
  </si>
  <si>
    <t>Total Liabilities/Equity (Quarter)</t>
  </si>
  <si>
    <t>Total Debt/Total Assets (Quarter)</t>
  </si>
  <si>
    <t>Financial Leverage (Quarter)</t>
  </si>
  <si>
    <t>Interest Coverage (TTM)</t>
  </si>
  <si>
    <t>Altman Z-Score (Modified)</t>
  </si>
  <si>
    <t>Return on Assets (TTM)</t>
  </si>
  <si>
    <t>Return on Equity (TTM)</t>
  </si>
  <si>
    <t>Return on Capital Employed (TTM)</t>
  </si>
  <si>
    <t>Return On Invested Capital (TTM)</t>
  </si>
  <si>
    <t>Days Sales Outstanding (Quarter)</t>
  </si>
  <si>
    <t>Days Inventory (Quarter)</t>
  </si>
  <si>
    <t>Days Payables Outstanding (Quarter)</t>
  </si>
  <si>
    <t>Cash Conversion Cycle (Quarter)</t>
  </si>
  <si>
    <t>Receivables Turnover (Quarter)</t>
  </si>
  <si>
    <t>Asset Turnover (TTM)</t>
  </si>
  <si>
    <t>Inventory Turnover (TTM)</t>
  </si>
  <si>
    <t>Enterprise Value</t>
  </si>
  <si>
    <t>Current Share Outstanding</t>
  </si>
  <si>
    <t>Free Float</t>
  </si>
  <si>
    <t>Gross Profit Margin (Quarter)</t>
  </si>
  <si>
    <t>Operating Profit Margin (Quarter)</t>
  </si>
  <si>
    <t>Net Profit Margin (Quarter)</t>
  </si>
  <si>
    <t>Revenue (Quarter YoY Growth)</t>
  </si>
  <si>
    <t>Gross Profit (Quarter YoY Growth)</t>
  </si>
  <si>
    <t>Net Income (Quarter YoY Growth)</t>
  </si>
  <si>
    <t>Dividend</t>
  </si>
  <si>
    <t>Dividend (TTM)</t>
  </si>
  <si>
    <t>Payout Ratio</t>
  </si>
  <si>
    <t>Dividend Yield</t>
  </si>
  <si>
    <t>Latest Dividend Ex-Date</t>
  </si>
  <si>
    <t>05 Jun 26</t>
  </si>
  <si>
    <t>Piotroski F-Score</t>
  </si>
  <si>
    <t>Relative Strength Rating</t>
  </si>
  <si>
    <t>Rank (Market Cap)</t>
  </si>
  <si>
    <t>Rank (Current PE Ratio TTM)</t>
  </si>
  <si>
    <t>Rank (P/S)</t>
  </si>
  <si>
    <t>Rank (P/B)</t>
  </si>
  <si>
    <t>Rank (Near 52 Weeks High)</t>
  </si>
  <si>
    <t>Revenue (TTM)</t>
  </si>
  <si>
    <t>Gross Profit (TTM)</t>
  </si>
  <si>
    <t>EBITDA (TTM)</t>
  </si>
  <si>
    <t>Net Income (TTM)</t>
  </si>
  <si>
    <t>Cash (Quarter)</t>
  </si>
  <si>
    <t>Total Assets (Quarter)</t>
  </si>
  <si>
    <t>Total Liabilities (Quarter)</t>
  </si>
  <si>
    <t>Total Equity</t>
  </si>
  <si>
    <t>Cash From Operations (TTM)</t>
  </si>
  <si>
    <t>Cash From Investing (TTM)</t>
  </si>
  <si>
    <t>Cash From Financing (TTM)</t>
  </si>
  <si>
    <t>Capital expenditure (TTM)</t>
  </si>
  <si>
    <t>Free cash flow (TTM)</t>
  </si>
  <si>
    <t>AALI</t>
  </si>
  <si>
    <t>12M 2020</t>
  </si>
  <si>
    <t>12M 2019</t>
  </si>
  <si>
    <t>12M 2018</t>
  </si>
  <si>
    <t>12M 2017</t>
  </si>
  <si>
    <t>12M 2016</t>
  </si>
  <si>
    <t>12M 2015</t>
  </si>
  <si>
    <t>12M 2014</t>
  </si>
  <si>
    <t>12M 2013</t>
  </si>
  <si>
    <t>12M 2012</t>
  </si>
  <si>
    <t>12M 2011</t>
  </si>
  <si>
    <t>12M 2010</t>
  </si>
  <si>
    <t>12M 2009</t>
  </si>
  <si>
    <t>12M 2008</t>
  </si>
  <si>
    <t>Beban Penjualan</t>
  </si>
  <si>
    <t>Beban Umum Dan Administra...</t>
  </si>
  <si>
    <t>Laba (Rugi) Selisih Kurs</t>
  </si>
  <si>
    <t>Laba Bersih Dari Operasi Yang D...</t>
  </si>
  <si>
    <t>Hak Minoritas</t>
  </si>
  <si>
    <t>Total Pendapatan Komprehensif...</t>
  </si>
  <si>
    <t>Investasi Pada Entitas P...</t>
  </si>
  <si>
    <t>Tanaman Perkebunan</t>
  </si>
  <si>
    <t>Tanaman Telah Menghas...</t>
  </si>
  <si>
    <t>Tanaman Belum Menghas...</t>
  </si>
  <si>
    <t>Total Tanaman Perkebun...</t>
  </si>
  <si>
    <t>Utang Bank Jangka Pen...</t>
  </si>
  <si>
    <t>Utang Bank Jangka...</t>
  </si>
  <si>
    <t>Utang Bank Jangka Pan...</t>
  </si>
  <si>
    <t>Penerimaan Dari Pelanggan</t>
  </si>
  <si>
    <t>Penerimaan Penghasilan Bu...</t>
  </si>
  <si>
    <t>Pembayaran Kepada Pemasok...</t>
  </si>
  <si>
    <t>Pembayaran Pajak</t>
  </si>
  <si>
    <t>Penerimaan Dari Kelebihan...</t>
  </si>
  <si>
    <t>Pembayaran Beban Operasio...</t>
  </si>
  <si>
    <t>Pemeliharaan Tanaman Perk...</t>
  </si>
  <si>
    <t>Penerimaan Dari Pelepasan...</t>
  </si>
  <si>
    <t>Penambahan Piutang Pihak ...</t>
  </si>
  <si>
    <t>Penerimaan Piutang Jangka...</t>
  </si>
  <si>
    <t>Penambahan Aset Biologis</t>
  </si>
  <si>
    <t>Penambahan Aset Hewan</t>
  </si>
  <si>
    <t>Penambahan Tanaman Perkeb...</t>
  </si>
  <si>
    <t>Penambahan Perkebunan Pla...</t>
  </si>
  <si>
    <t>Perolehan Hak Atas Tanah</t>
  </si>
  <si>
    <t>Pembayaran Tambahan Untuk...</t>
  </si>
  <si>
    <t>Penambahan Investasi Pada...</t>
  </si>
  <si>
    <t>Penerimaan Pinjaman Bank</t>
  </si>
  <si>
    <t>Penerimaan Dari Penawaran...</t>
  </si>
  <si>
    <t>Pembayaran Dividen Kas</t>
  </si>
  <si>
    <t>Pembayaran Pinjaman Bank</t>
  </si>
  <si>
    <t>Pembayaran Dividen Kas Ke...</t>
  </si>
  <si>
    <t>Penerimaan Piutang Dari P...</t>
  </si>
  <si>
    <t>Penerimaan Dividen Kas Da...</t>
  </si>
  <si>
    <t>Pembayaran Beban Keuangan</t>
  </si>
  <si>
    <t>Pembayaran Biaya Pendanaa...</t>
  </si>
  <si>
    <t>PEG (Forward)</t>
  </si>
  <si>
    <t>24 Apr 26</t>
  </si>
  <si>
    <t>Rank (Earnings Yield)</t>
  </si>
  <si>
    <t>ANTM</t>
  </si>
  <si>
    <t>Beban Eksplorasi</t>
  </si>
  <si>
    <t>Piutang Pihak Berelasi</t>
  </si>
  <si>
    <t>Investasi Pada Entitas A...</t>
  </si>
  <si>
    <t>Aset Eksplorasi Dan Eval...</t>
  </si>
  <si>
    <t>Biaya Eksplorasi Dan Pen...</t>
  </si>
  <si>
    <t>Utang Obligasi</t>
  </si>
  <si>
    <t>Liabilitas Derivatif</t>
  </si>
  <si>
    <t>Pinjaman Investasi</t>
  </si>
  <si>
    <t>Utang Sewa Pembiayaan</t>
  </si>
  <si>
    <t>Penerimaan Kas Dari Resti...</t>
  </si>
  <si>
    <t>Pembayaran Kepada Komisar...</t>
  </si>
  <si>
    <t>Pembayaran Pajak Lain-Lai...</t>
  </si>
  <si>
    <t>Pembayaran Pajak Badan</t>
  </si>
  <si>
    <t>Pembayaran Pajak Dan Retr...</t>
  </si>
  <si>
    <t>Pembayaran Bunga</t>
  </si>
  <si>
    <t>(Pengembalian Atas)/Pener...</t>
  </si>
  <si>
    <t>Penerimaan Dari Jaminan K...</t>
  </si>
  <si>
    <t>Pembayaran Premi Asuransi</t>
  </si>
  <si>
    <t>Penerimaan Kas Dari Pajak...</t>
  </si>
  <si>
    <t>Penerimaan Kas Dari Pengh...</t>
  </si>
  <si>
    <t>Penerimaan Kas Dari Denda...</t>
  </si>
  <si>
    <t>Penurunan (Kenaikan) Kas ...</t>
  </si>
  <si>
    <t>Pembayaran Lain-Lain - Be...</t>
  </si>
  <si>
    <t>Adjustment</t>
  </si>
  <si>
    <t>Penghasilan Dividen</t>
  </si>
  <si>
    <t>Penerimaan Deposito Berja...</t>
  </si>
  <si>
    <t>Penerimaan Dari Utang Lai...</t>
  </si>
  <si>
    <t>Pengeluaran Aset Takberwu...</t>
  </si>
  <si>
    <t>Perolehan Investasi Pada ...</t>
  </si>
  <si>
    <t>Peningkatan Investasi Sah...</t>
  </si>
  <si>
    <t>Pembayaran Uang Muka Inve...</t>
  </si>
  <si>
    <t>Pelepasan Entitas Anak</t>
  </si>
  <si>
    <t>Penerimaan Kas Dari Penju...</t>
  </si>
  <si>
    <t>Pengeluaran Beban Tangguh...</t>
  </si>
  <si>
    <t>Pengeluaran Untuk Utang L...</t>
  </si>
  <si>
    <t>Pengeluaran Untuk Propert...</t>
  </si>
  <si>
    <t>Penerimaan Aset Keuangan ...</t>
  </si>
  <si>
    <t>Penerimaan Dividen Dari E...</t>
  </si>
  <si>
    <t>Penambahan Aset Eksploras...</t>
  </si>
  <si>
    <t>Pemberian Pinjaman Ke Per...</t>
  </si>
  <si>
    <t>Penerimaan Dari Disposal ...</t>
  </si>
  <si>
    <t>Penerimaan Atas Penjualan...</t>
  </si>
  <si>
    <t>Pemberian Pinjaman Ke Pen...</t>
  </si>
  <si>
    <t>Investasi Saham</t>
  </si>
  <si>
    <t>Penambahan Beban Ditanggu...</t>
  </si>
  <si>
    <t>Biaya Transaksi Terkait D...</t>
  </si>
  <si>
    <t>Pengeluaran Untuk Aset Ti...</t>
  </si>
  <si>
    <t>Pembelian Surat Berharga</t>
  </si>
  <si>
    <t>Investasi Dalam Saham</t>
  </si>
  <si>
    <t>Uang Muka Pembelian Saham</t>
  </si>
  <si>
    <t>Pinjaman Ke Entitas Asosi...</t>
  </si>
  <si>
    <t>Akuisisi Entitas Anak Mel...</t>
  </si>
  <si>
    <t>Pembayaran Lain-Lain</t>
  </si>
  <si>
    <t>Penerimaan Pinjaman Bank ...</t>
  </si>
  <si>
    <t>Penerimaan Pinjaman Inves...</t>
  </si>
  <si>
    <t>Pembayaran Pinjaman Inves...</t>
  </si>
  <si>
    <t>Kontribusi Modal Dari Kep...</t>
  </si>
  <si>
    <t>Pembayaran Dividen</t>
  </si>
  <si>
    <t>Pembayaran Utang Obligasi</t>
  </si>
  <si>
    <t>Pembayaran Liabilitas Sew...</t>
  </si>
  <si>
    <t>Pembayaran Dividen Kas Ol...</t>
  </si>
  <si>
    <t>Pembayaran Untuk Alokasi ...</t>
  </si>
  <si>
    <t>Pembayaran Pembelian Kemb...</t>
  </si>
  <si>
    <t>Penerimaan Modal Dari Kep...</t>
  </si>
  <si>
    <t>Penerimaan Utang Obligasi</t>
  </si>
  <si>
    <t>23 Jun 25</t>
  </si>
  <si>
    <t>EPS Rating</t>
  </si>
  <si>
    <t>BBCA</t>
  </si>
  <si>
    <t>Pendapatan Bunga</t>
  </si>
  <si>
    <t>Provisi Dan Komisi Kredit</t>
  </si>
  <si>
    <t>Beban Bunga</t>
  </si>
  <si>
    <t>Beban Provisi Dan Komisi</t>
  </si>
  <si>
    <t>Total Beban Pokok Penjualan...</t>
  </si>
  <si>
    <t>Pendapatan Operasional La...</t>
  </si>
  <si>
    <t>Provisi Dan Komisi Lainn...</t>
  </si>
  <si>
    <t>Keuntungan Transaksi Mat...</t>
  </si>
  <si>
    <t>Keuntungan (Rugi) Atas T...</t>
  </si>
  <si>
    <t>Kenaikan Nilai Wajar Ase...</t>
  </si>
  <si>
    <t>Keuntungan Dari Penjuala...</t>
  </si>
  <si>
    <t>Keuntungan Dari Perubaha...</t>
  </si>
  <si>
    <t>Total Pendapatan Operas...</t>
  </si>
  <si>
    <t>Beban Operasional Lainnya</t>
  </si>
  <si>
    <t>Beban Penyisihan Kerugia...</t>
  </si>
  <si>
    <t>Beban Tenaga Kerja</t>
  </si>
  <si>
    <t>Beban Umum Dan Administr...</t>
  </si>
  <si>
    <t>Penurunan Nilai Wajar As...</t>
  </si>
  <si>
    <t>Total Beban Operasional...</t>
  </si>
  <si>
    <t>Laba (Rugi) Atas Penjuala...</t>
  </si>
  <si>
    <t>Pajak Kini</t>
  </si>
  <si>
    <t>Pajak Tangguhan</t>
  </si>
  <si>
    <t>Total Beban Pajak Penghasilan</t>
  </si>
  <si>
    <t>Kepentingan Non-Pegendali</t>
  </si>
  <si>
    <t>Giro Pada Bank Indonesia</t>
  </si>
  <si>
    <t>Penempatan Pada Bank Indo...</t>
  </si>
  <si>
    <t>Total Penempatan Pada B...</t>
  </si>
  <si>
    <t>Obligasi Pemerintah</t>
  </si>
  <si>
    <t>Pinjaman Yang Diberikan</t>
  </si>
  <si>
    <t>Total Pinjaman Yang Dib...</t>
  </si>
  <si>
    <t>Piutang Pembiayaan Konsum...</t>
  </si>
  <si>
    <t>Liabilitas Segera</t>
  </si>
  <si>
    <t>Simpanan Nasabah</t>
  </si>
  <si>
    <t>Total Simpanan Nasabah</t>
  </si>
  <si>
    <t>Liabilitas Bank Lain</t>
  </si>
  <si>
    <t>Simpanan Dari Bank Lain</t>
  </si>
  <si>
    <t>Liabilitas Akseptasi</t>
  </si>
  <si>
    <t>Surat Berharga Yang Dite...</t>
  </si>
  <si>
    <t>Pinjaman Yang Diterima</t>
  </si>
  <si>
    <t>Liabilitas Pajak Tangguh...</t>
  </si>
  <si>
    <t>Obligasi Subordinasi</t>
  </si>
  <si>
    <t>Dana Syirkah Temporer</t>
  </si>
  <si>
    <t>Penerimaan Pendapatan Bun...</t>
  </si>
  <si>
    <t>Pembayaran Beban Bunga, P...</t>
  </si>
  <si>
    <t>Pembayaran Imbalan Pasca-...</t>
  </si>
  <si>
    <t>(Beban) Pendapatan Dari T...</t>
  </si>
  <si>
    <t>Pendapatan Non-Operasiona...</t>
  </si>
  <si>
    <t>Pembayaran Tantiem Dewan ...</t>
  </si>
  <si>
    <t>Kenaikan/Penurunan Lainny...</t>
  </si>
  <si>
    <t>Penempatan Pada Bank Ind...</t>
  </si>
  <si>
    <t>Surat-Surat Berharga Unt...</t>
  </si>
  <si>
    <t>Obligasi Pemerintah Untu...</t>
  </si>
  <si>
    <t>Aset Keuangan Untuk Dipe...</t>
  </si>
  <si>
    <t>Tagihan Akseptasi</t>
  </si>
  <si>
    <t>Wesel Tagih</t>
  </si>
  <si>
    <t>Efek-Efek Yang Dibeli De...</t>
  </si>
  <si>
    <t>Kredit Yang Diberikan</t>
  </si>
  <si>
    <t>Piutang Pembiayaan Konsu...</t>
  </si>
  <si>
    <t>Investasi Sewa Pembiayaa...</t>
  </si>
  <si>
    <t>Pembiayaan Syariah</t>
  </si>
  <si>
    <t>Aset Lain-Lain</t>
  </si>
  <si>
    <t>Simpanan Dari Nasabah</t>
  </si>
  <si>
    <t>Dana Simpanan Syariah</t>
  </si>
  <si>
    <t>Simpanan Dari Bank-Bank ...</t>
  </si>
  <si>
    <t>Utang Akseptasi</t>
  </si>
  <si>
    <t>Beban Yang Masih Harus D...</t>
  </si>
  <si>
    <t>Surat-Surat Berharga Yan...</t>
  </si>
  <si>
    <t>Surat Berharga Yang Diju...</t>
  </si>
  <si>
    <t>Dana Investasi Revenue S...</t>
  </si>
  <si>
    <t>Liabilitas Lain-Lain</t>
  </si>
  <si>
    <t>Total Kenaikan/Penuruna...</t>
  </si>
  <si>
    <t>Pembelian Efek-Efek Untuk...</t>
  </si>
  <si>
    <t>Penerimaan Dari Efek-Efek...</t>
  </si>
  <si>
    <t>Penjualan Efek-Efek Untuk...</t>
  </si>
  <si>
    <t>Akuisisi Entitas Anak, Se...</t>
  </si>
  <si>
    <t>Penempatan Sertifikat Dep...</t>
  </si>
  <si>
    <t>Penerimaan Dari Sertifika...</t>
  </si>
  <si>
    <t>Perolehan Aset Sewa Guna</t>
  </si>
  <si>
    <t>Hasil Penjualan Penyertaa...</t>
  </si>
  <si>
    <t>Pembelian Penyertaan Dala...</t>
  </si>
  <si>
    <t>Penerimaan Dari Penjualan...</t>
  </si>
  <si>
    <t>Pembelian Obligasi Pemeri...</t>
  </si>
  <si>
    <t>Penerimaan Dari Obligasi ...</t>
  </si>
  <si>
    <t>Pembelian Surat-Surat Ber...</t>
  </si>
  <si>
    <t>Penerimaan Dari Surat-Sur...</t>
  </si>
  <si>
    <t>Kenaikan Efek-Efek Utang ...</t>
  </si>
  <si>
    <t>Penurunan (Kenaikan) Pinj...</t>
  </si>
  <si>
    <t>Penerimaan Dari Penambaha...</t>
  </si>
  <si>
    <t>Efek-Efek Yang Dijual Den...</t>
  </si>
  <si>
    <t>Tambahan Setoran Modal Ke...</t>
  </si>
  <si>
    <t>Hasil Penjualan Saham Tre...</t>
  </si>
  <si>
    <t>Pembayaran Tantieme Dewan...</t>
  </si>
  <si>
    <t>Pembelian Kembali Saham B...</t>
  </si>
  <si>
    <t>30 Mar 26</t>
  </si>
  <si>
    <t>BBRI</t>
  </si>
  <si>
    <t>Pendapatan Premi</t>
  </si>
  <si>
    <t>Pendapatan Syariah</t>
  </si>
  <si>
    <t>Beban Klaim</t>
  </si>
  <si>
    <t>Beban Syariah</t>
  </si>
  <si>
    <t>Penerimaan Kembali Aset ...</t>
  </si>
  <si>
    <t>Pemulihan Estimasi Kerug...</t>
  </si>
  <si>
    <t>Kerugian Transaksi Mata ...</t>
  </si>
  <si>
    <t>Beban Premi Program Penj...</t>
  </si>
  <si>
    <t>Proforma Laba Bersih Dari Trans...</t>
  </si>
  <si>
    <t>Total Penempatan Pada ...</t>
  </si>
  <si>
    <t>Total Pihak Ketiga</t>
  </si>
  <si>
    <t>Total Pihak Berelas...</t>
  </si>
  <si>
    <t>Total Obligasi Pemerint...</t>
  </si>
  <si>
    <t>Total Pinjaman Yang Di...</t>
  </si>
  <si>
    <t>Piutang Sewa Pembiayaan</t>
  </si>
  <si>
    <t>Total Piutang Sewa Pemb...</t>
  </si>
  <si>
    <t>Total Aset Tetap</t>
  </si>
  <si>
    <t>Properti Investasi</t>
  </si>
  <si>
    <t>Total Deposito Berj...</t>
  </si>
  <si>
    <t>Efek-Efek Yang Diterbitk...</t>
  </si>
  <si>
    <t>Penerimaan Bunga, Hasil I...</t>
  </si>
  <si>
    <t>Penerimaan Bunga Dan Inv...</t>
  </si>
  <si>
    <t>Pendapatan Penjualan Ema...</t>
  </si>
  <si>
    <t>Pendapatan Jasa Asuransi</t>
  </si>
  <si>
    <t>Total Penerimaan Bunga,...</t>
  </si>
  <si>
    <t>Pembayaran Bunga, Beban S...</t>
  </si>
  <si>
    <t>Beban Harga Pokok Penjua...</t>
  </si>
  <si>
    <t>Beban Jasa Asuransi</t>
  </si>
  <si>
    <t>Total Pembayaran Bunga,...</t>
  </si>
  <si>
    <t>Penerimaan Kembali Aset Y...</t>
  </si>
  <si>
    <t>Pendapatan Non Operasiona...</t>
  </si>
  <si>
    <t>Perubahan Dalam Aset Dan ...</t>
  </si>
  <si>
    <t>(Kenaikan) Penurunan Ase...</t>
  </si>
  <si>
    <t>Penempatan Pada Bank ...</t>
  </si>
  <si>
    <t>Efek-Efek Dan Obligas...</t>
  </si>
  <si>
    <t>Efek Yg Dibeli Dengan...</t>
  </si>
  <si>
    <t>Tagihan Wesel Ekspor</t>
  </si>
  <si>
    <t>(Kenaikan)/Penurunan ...</t>
  </si>
  <si>
    <t>Tagihan Derivatif</t>
  </si>
  <si>
    <t>Pinjaman Syariah</t>
  </si>
  <si>
    <t>Piutang Pembiayaan</t>
  </si>
  <si>
    <t>Piutang Sewa Pembiaya...</t>
  </si>
  <si>
    <t>Uang Muka Pajak Tahun...</t>
  </si>
  <si>
    <t>Total (Kenaikan) Penur...</t>
  </si>
  <si>
    <t>Kenaikan (Penurunan) Lia...</t>
  </si>
  <si>
    <t>Simpanan:</t>
  </si>
  <si>
    <t>Giro</t>
  </si>
  <si>
    <t>Giro Wadiah</t>
  </si>
  <si>
    <t>Giro Mudharabah</t>
  </si>
  <si>
    <t>Tabungan</t>
  </si>
  <si>
    <t>Tabungan Wadiah</t>
  </si>
  <si>
    <t>Tabungan Mudharab...</t>
  </si>
  <si>
    <t>Deposito Berjangk...</t>
  </si>
  <si>
    <t>Total Simpanan:</t>
  </si>
  <si>
    <t>Simpanan Dari Bank La...</t>
  </si>
  <si>
    <t>Efek-Efek Yang Dijual...</t>
  </si>
  <si>
    <t>Total Kenaikan (Penuru...</t>
  </si>
  <si>
    <t>Kenaikan Dana Syirkah Te...</t>
  </si>
  <si>
    <t>Total Perubahan Dalam A...</t>
  </si>
  <si>
    <t>Penurunan (Penambahan) Ef...</t>
  </si>
  <si>
    <t>Penambahan Penyertaan Sah...</t>
  </si>
  <si>
    <t>(Kenaikan) Efek-Efek Dan ...</t>
  </si>
  <si>
    <t>Penerimaan Dividen</t>
  </si>
  <si>
    <t>(Pembayaran) Penerimaan P...</t>
  </si>
  <si>
    <t>Kenaikan Efek-Efek Yang D...</t>
  </si>
  <si>
    <t>Penurunan (Kenaikan) Efek...</t>
  </si>
  <si>
    <t>Pembagian Laba Untuk Divi...</t>
  </si>
  <si>
    <t>Dividen</t>
  </si>
  <si>
    <t>Pkbl</t>
  </si>
  <si>
    <t>Total Pembagian Laba Un...</t>
  </si>
  <si>
    <t>Kenaikan (Penurunan) Tamb...</t>
  </si>
  <si>
    <t>Kenaikan (Penurunan) Moda...</t>
  </si>
  <si>
    <t>Penambahan Modal Saham</t>
  </si>
  <si>
    <t>Penerimaan (Pembayaran) P...</t>
  </si>
  <si>
    <t>Penerimaan (Pembayaran) A...</t>
  </si>
  <si>
    <t>Pembayaran Atas Surat Ber...</t>
  </si>
  <si>
    <t>Keuntungan Yang Belum Dir...</t>
  </si>
  <si>
    <t>Penambahan Kas Dari Akuisisi Br...</t>
  </si>
  <si>
    <t>21 Apr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</si>
</sst>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_(* #,##0_);_(* \(#,##0\);_(* &quot;-&quot;_);_(@_)"/>
    <numFmt numFmtId="166" formatCode="_(* #,##0.00_);_(* \(#,##0.00\);_(* &quot;-&quot;??_);_(@_)"/>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3" fontId="0" fillId="0" borderId="0" xfId="0" applyNumberFormat="1"/>
    <xf numFmtId="4" fontId="0" fillId="0" borderId="0" xfId="0" applyNumberFormat="1"/>
    <xf numFmtId="10"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78">
  <a r="1">
    <v t="i">0</v>
  </a>
  <a r="1">
    <v>8475</v>
  </a>
  <a r="1">
    <v>6975</v>
  </a>
  <a r="1">
    <v>11600</v>
  </a>
  <a r="1">
    <v>20676.866699999999</v>
  </a>
  <a r="1">
    <v>15102.688399999999</v>
  </a>
  <a r="1">
    <v>14575</v>
  </a>
  <a r="1">
    <v>7025</v>
  </a>
  <a r="1">
    <v>8100</v>
  </a>
  <a r="1">
    <v>21772.645400000001</v>
  </a>
  <a r="1">
    <v>13150</v>
  </a>
  <a r="1">
    <v>9500</v>
  </a>
  <a r="1">
    <v>23106.6368</v>
  </a>
  <a r="1">
    <v>9337.9398000000001</v>
  </a>
  <a r="1">
    <v>18771.164700000001</v>
  </a>
  <a r="1">
    <v>16775</v>
  </a>
  <a r="1">
    <v>12325</v>
  </a>
  <a r="1">
    <v>6200</v>
  </a>
  <a r="1">
    <v>23916.560099999999</v>
  </a>
  <a r="1">
    <v>7375</v>
  </a>
  <a r="1">
    <v>24964.696199999998</v>
  </a>
  <a r="1">
    <v>11825</v>
  </a>
  <a r="1">
    <v>8025</v>
  </a>
  <a r="1">
    <v>760</v>
  </a>
  <a r="1">
    <v>1450</v>
  </a>
  <a r="1">
    <v>3640</v>
  </a>
  <a r="1">
    <v>4110</v>
  </a>
  <a r="1">
    <v>3660</v>
  </a>
  <a r="1">
    <v>1050</v>
  </a>
  <a r="1">
    <v>2330</v>
  </a>
  <a r="1">
    <v>4940</v>
  </a>
  <a r="1">
    <v>1350</v>
  </a>
  <a r="1">
    <v>2285</v>
  </a>
  <a r="1">
    <v>4400</v>
  </a>
  <a r="1">
    <v>5725</v>
  </a>
  <a r="1">
    <v>2990</v>
  </a>
  <a r="1">
    <v>2335</v>
  </a>
  <a r="1">
    <v>4170</v>
  </a>
  <a r="1">
    <v>457.5</v>
  </a>
  <a r="1">
    <v>4080</v>
  </a>
  <a r="1">
    <v>1390</v>
  </a>
  <a r="1">
    <v>1280</v>
  </a>
  <a r="1">
    <v>2625</v>
  </a>
  <a r="1">
    <v>5200</v>
  </a>
  <a r="1">
    <v>8550</v>
  </a>
  <a r="1">
    <v>650</v>
  </a>
  <a r="1">
    <v>1920</v>
  </a>
  <a r="1">
    <v>6685</v>
  </a>
  <a r="1">
    <v>9675</v>
  </a>
  <a r="1">
    <v>945</v>
  </a>
  <a r="1">
    <v>2660</v>
  </a>
  <a r="1">
    <v>6770</v>
  </a>
  <a r="1">
    <v>8075</v>
  </a>
  <a r="1">
    <v>3100</v>
  </a>
  <a r="1">
    <v>4380</v>
  </a>
  <a r="1">
    <v>5850</v>
  </a>
  <a r="1">
    <v>1600</v>
  </a>
  <a r="1">
    <v>7300</v>
  </a>
  <a r="1">
    <v>1820</v>
  </a>
  <a r="1">
    <v>9400</v>
  </a>
  <a r="1">
    <v>2057.9436999999998</v>
  </a>
  <a r="1">
    <v>894.57550000000003</v>
  </a>
  <a r="1">
    <v>765</v>
  </a>
  <a r="1">
    <v>1985</v>
  </a>
  <a r="1">
    <v>915.57489999999996</v>
  </a>
  <a r="1">
    <v>840</v>
  </a>
  <a r="1">
    <v>1525</v>
  </a>
  <a r="1">
    <v>1889.9483</v>
  </a>
  <a r="1">
    <v>314</v>
  </a>
  <a r="1">
    <v>1935</v>
  </a>
  <a r="1">
    <v>3150</v>
  </a>
  <a r="1">
    <v>1360.7627</v>
  </a>
  <a r="1">
    <v>895</v>
  </a>
  <a r="1">
    <v>2250</v>
  </a>
  <a r="1">
    <v>1075.1705999999999</v>
  </a>
  <a r="1">
    <v>625</v>
  </a>
  <a r="1">
    <v>1705</v>
  </a>
  <a r="1">
    <v>3740</v>
  </a>
</arrayData>
</file>

<file path=xl/richData/rdrichvalue.xml><?xml version="1.0" encoding="utf-8"?>
<rvData xmlns="http://schemas.microsoft.com/office/spreadsheetml/2017/richdata" count="170">
  <rv s="0">
    <v>en-ID</v>
    <v>cfatz2</v>
    <v>268435456</v>
    <v>1</v>
    <v>Powered by Refinitiv</v>
    <v>0</v>
    <v>PT Adaro Andalan Indonesia Tbk (XIDX:AADI)</v>
    <v>2</v>
    <v>3</v>
    <v>Finance</v>
    <v>4</v>
    <v>11800</v>
    <v>6650</v>
    <v>0.45800000000000002</v>
    <v>600</v>
    <v>7.4534000000000003E-2</v>
    <v>IDR</v>
    <v>PT Adaro Andalan Indonesia Tbk is an Indonesia-based company, which is engaged in coal mining, mining services, other management consulting activities, water resources management, electricity, special freight services, oil palm plantations, rubber plantations and other latex-producing plants, with operational areas including South Kalimantan, South Sumatra, and Central Kalimantan. Its segments include coal mining and trading, logistics, electricity asset rental and its supporting services, and others. Its business includes Adaro Mining, Adaro Logistics, Adaro Water, Adaro Land, Adaro Capital and Other Supporting Businesses. Adaro Logistics includes coal barging and ship loading, river channel dredging and maintenance, stevedoring, inland and seaport operations, and barge maintenance and repair. Adaro Water provides a water treatment and slurry management facility, leveraging its expertise in managing mine water and wastewater.</v>
    <v>2966</v>
    <v>Indonesia Stock Exchange</v>
    <v>XIDX</v>
    <v>XIDX</v>
    <v>Cyber 2 Tower Lantai 26 Jl. H.R., Rasuna Said Blok X-5, No.13, JAKARTA SELATAN, DKI JAKARTA, 12950 ID</v>
    <v>8850</v>
    <v>Coal</v>
    <v>Stock</v>
    <v>46185.385416666664</v>
    <v>8050</v>
    <v>67356620000000</v>
    <v>PT Adaro Andalan Indonesia Tbk</v>
    <v>PT Adaro Andalan Indonesia Tbk</v>
    <v>8100</v>
    <v>8050</v>
    <v>8650</v>
    <v>7786892000</v>
    <v>AADI</v>
    <v>PT Adaro Andalan Indonesia Tbk (XIDX:AADI)</v>
    <v>21262200</v>
    <v>21003181.4815</v>
    <v>2004</v>
  </rv>
  <rv s="1">
    <v>0</v>
  </rv>
  <rv s="2">
    <fb>11600</fb>
    <v>5</v>
  </rv>
  <rv s="2">
    <fb>6975</fb>
    <v>5</v>
  </rv>
  <rv s="2">
    <fb>8475</fb>
    <v>5</v>
  </rv>
  <rv s="3">
    <v>https://www.bing.com/financeapi/forcetrigger?t=bn8zk2&amp;q=XIDX%3aAALI&amp;form=skydnc</v>
    <v>Learn more on Bing</v>
  </rv>
  <rv s="4">
    <v>en-ID</v>
    <v>bn8zk2</v>
    <v>268435456</v>
    <v>1</v>
    <v>Powered by Refinitiv</v>
    <v>6</v>
    <v>PT Astra Agro Lestari Tbk (XIDX:AALI)</v>
    <v>7</v>
    <v>3</v>
    <v>Finance</v>
    <v>4</v>
    <v>9000</v>
    <v>5600</v>
    <v>1.0173000000000001</v>
    <v>125</v>
    <v>2.0660999999999999E-2</v>
    <v>IDR</v>
    <v>PT Astra Agro Lestari Tbk is an Indonesia-based company engaged in the agriculture and agro-industry sectors. It operates through multiple divisions, including palm oil plantations, palm oil mills, palm kernel crushing plants, and palm oil refineries. The Company manages approximately 280,325 hectares of oil palm plantations, with 208,063 hectares of nucleus plantations and 72,262 hectares of plasma plantations. It offers a range of products, including Crude Palm Oil (CPO), Palm Kernel Oil (PKO), and other palm oil derivatives. It also produces organic fertilizers and has developed seed varieties such as AAL Nirmala, AAL Sejahtera, and AAL Lestari. It serves customers in various regions, including Sumatra, Kalimantan, and Sulawesi. Its subsidiaries include PT Sari Lembah Subur, PT Eka Dura Indonesia, PT Sawit Asahan Indah, PT Tunggal Perkasa Plantation, PT Kimia Tirta Utama among others.</v>
    <v>26482</v>
    <v>Indonesia Stock Exchange</v>
    <v>XIDX</v>
    <v>XIDX</v>
    <v>Jl Pulo Ayang Raya Blok OR-1, Kawasan Industri Pulogadung, JAKARTA, DKI JAKARTA, 13930 ID</v>
    <v>6325</v>
    <v>Food &amp; Tobacco</v>
    <v>Stock</v>
    <v>46185.385416666664</v>
    <v>5</v>
    <v>6025</v>
    <v>11884950000000</v>
    <v>PT Astra Agro Lestari Tbk</v>
    <v>PT Astra Agro Lestari Tbk</v>
    <v>6075</v>
    <v>6050</v>
    <v>6175</v>
    <v>1924688000</v>
    <v>AALI</v>
    <v>PT Astra Agro Lestari Tbk (XIDX:AALI)</v>
    <v>3068700</v>
    <v>2584220.3703999999</v>
    <v>1989</v>
  </rv>
  <rv s="1">
    <v>6</v>
  </rv>
  <rv s="2">
    <fb>8100</fb>
    <v>5</v>
  </rv>
  <rv s="2">
    <fb>7375</fb>
    <v>5</v>
  </rv>
  <rv s="2">
    <fb>6200</fb>
    <v>5</v>
  </rv>
  <rv s="2">
    <fb>7025</fb>
    <v>5</v>
  </rv>
  <rv s="2">
    <fb>8025</fb>
    <v>5</v>
  </rv>
  <rv s="2">
    <fb>9500</fb>
    <v>5</v>
  </rv>
  <rv s="2">
    <fb>12325</fb>
    <v>5</v>
  </rv>
  <rv s="2">
    <fb>14575</fb>
    <v>5</v>
  </rv>
  <rv s="2">
    <fb>11825</fb>
    <v>5</v>
  </rv>
  <rv s="2">
    <fb>13150</fb>
    <v>5</v>
  </rv>
  <rv s="2">
    <fb>16775</fb>
    <v>5</v>
  </rv>
  <rv s="2">
    <fb>15102.688399999999</fb>
    <v>5</v>
  </rv>
  <rv s="2">
    <fb>23106.6368</fb>
    <v>5</v>
  </rv>
  <rv s="2">
    <fb>23916.560099999999</fb>
    <v>5</v>
  </rv>
  <rv s="2">
    <fb>18771.164700000001</fb>
    <v>5</v>
  </rv>
  <rv s="2">
    <fb>20676.866699999999</fb>
    <v>5</v>
  </rv>
  <rv s="2">
    <fb>24964.696199999998</fb>
    <v>5</v>
  </rv>
  <rv s="2">
    <fb>21772.645400000001</fb>
    <v>5</v>
  </rv>
  <rv s="2">
    <fb>9337.9398000000001</fb>
    <v>5</v>
  </rv>
  <rv s="3">
    <v>https://www.bing.com/financeapi/forcetrigger?t=bn8zmw&amp;q=XIDX%3aANTM&amp;form=skydnc</v>
    <v>Learn more on Bing</v>
  </rv>
  <rv s="4">
    <v>en-ID</v>
    <v>bn8zmw</v>
    <v>268435456</v>
    <v>1</v>
    <v>Powered by Refinitiv</v>
    <v>6</v>
    <v>PT Aneka Tambang Tbk (XIDX:ANTM)</v>
    <v>7</v>
    <v>3</v>
    <v>Finance</v>
    <v>4</v>
    <v>4970</v>
    <v>2450</v>
    <v>1.0710999999999999</v>
    <v>130</v>
    <v>4.7793999999999996E-2</v>
    <v>IDR</v>
    <v>PT Aneka Tambang Tbk is an Indonesia-based mining company. It is engaged in the business of mining various types of minerals, and of mining-related industry, trade, transportation, and mining sector services. The Company operates through three segments: Nickel, Precious Metals and Refinery, and Bauxite and Alumina. Its Nickel segment is comprised of ferronickel and nickel ore sales. Its Precious Metals and Refinery business segment consists of gold commodity, silver and precious metals processing and refinery services. Its gold and silver are sources from its underground gold mines at Pangkor, West Java. Its bauxite commodity is produced at the Tayan bauxite mine, which is operated by the West Kalimantan Bauxite Mining Business Unit. The mined bauxite is utilized as feedstock for the Chemical Grade Alumina (CGA) plant in Tayan. The Company's subsidiaries include Asia Pacific Nickel Pty., Ltd, PT Indonesia Coal Resources, PT Antam Resourcindo, and PT Emas Antam Indonesia, among others.</v>
    <v>3829</v>
    <v>Indonesia Stock Exchange</v>
    <v>XIDX</v>
    <v>XIDX</v>
    <v>Gedung. Aneka Tambang Jl. Letjen TB. Simatupang No. 1, JAKARTA SELATAN, DKI JAKARTA, 12530 ID</v>
    <v>2910</v>
    <v>Metals &amp; Mining</v>
    <v>Stock</v>
    <v>46185.385416666664</v>
    <v>27</v>
    <v>2760</v>
    <v>68487680000000</v>
    <v>PT Aneka Tambang Tbk</v>
    <v>PT Aneka Tambang Tbk</v>
    <v>2800</v>
    <v>2720</v>
    <v>2850</v>
    <v>24030770000</v>
    <v>ANTM</v>
    <v>PT Aneka Tambang Tbk (XIDX:ANTM)</v>
    <v>174808500</v>
    <v>160922968.5185</v>
    <v>1975</v>
  </rv>
  <rv s="1">
    <v>28</v>
  </rv>
  <rv s="2">
    <fb>3740</fb>
    <v>5</v>
  </rv>
  <rv s="2">
    <fb>3150</fb>
    <v>5</v>
  </rv>
  <rv s="2">
    <fb>1525</fb>
    <v>5</v>
  </rv>
  <rv s="2">
    <fb>1705</fb>
    <v>5</v>
  </rv>
  <rv s="2">
    <fb>1985</fb>
    <v>5</v>
  </rv>
  <rv s="2">
    <fb>2250</fb>
    <v>5</v>
  </rv>
  <rv s="2">
    <fb>1935</fb>
    <v>5</v>
  </rv>
  <rv s="2">
    <fb>840</fb>
    <v>5</v>
  </rv>
  <rv s="2">
    <fb>765</fb>
    <v>5</v>
  </rv>
  <rv s="2">
    <fb>625</fb>
    <v>5</v>
  </rv>
  <rv s="2">
    <fb>895</fb>
    <v>5</v>
  </rv>
  <rv s="2">
    <fb>314</fb>
    <v>5</v>
  </rv>
  <rv s="2">
    <fb>894.57550000000003</fb>
    <v>5</v>
  </rv>
  <rv s="2">
    <fb>915.57489999999996</fb>
    <v>5</v>
  </rv>
  <rv s="2">
    <fb>1075.1705999999999</fb>
    <v>5</v>
  </rv>
  <rv s="2">
    <fb>1360.7627</fb>
    <v>5</v>
  </rv>
  <rv s="2">
    <fb>2057.9436999999998</fb>
    <v>5</v>
  </rv>
  <rv s="2">
    <fb>1889.9483</fb>
    <v>5</v>
  </rv>
  <rv s="3">
    <v>https://www.bing.com/financeapi/forcetrigger?t=bn91jc&amp;q=XIDX%3aBBCA&amp;form=skydnc</v>
    <v>Learn more on Bing</v>
  </rv>
  <rv s="4">
    <v>en-ID</v>
    <v>bn91jc</v>
    <v>268435456</v>
    <v>1</v>
    <v>Powered by Refinitiv</v>
    <v>6</v>
    <v>PT Bank Central Asia Tbk (XIDX:BBCA)</v>
    <v>7</v>
    <v>3</v>
    <v>Finance</v>
    <v>4</v>
    <v>9125</v>
    <v>4820</v>
    <v>0.64419999999999999</v>
    <v>100</v>
    <v>1.7166999999999998E-2</v>
    <v>IDR</v>
    <v>PT Bank Central Asia Tbk (the Bank) is an Indonesia-based commercial bank. The Bank’s segments include Transaction Banking, Corporate Banking, Commercial &amp; Small &amp; Medium Enterprise (SME) Banking, Individual Banking, and Treasury and International Banking. Its geographic areas include Sumatera, Java, Kalimantan, East Indonesia and overseas operation. The Bank offers various products and services, which include deposits accounts, cash management services, transaction banking services, credit cards, bancassurance products, electronic banking, mutual fund investment product, export import facilities, foreign exchange facilities, and others. It provides a variety of international banking services, such as cross border remittances, trade fi nance, and other services for banks and financial institutions. Its subsidiaries include PT BCA Finance, BCA Finance Limited, PT Bank BCA Syariah, PT BCA Sekuritas, PT Asuransi Umum BCA, PT BCA Multi Finance, and others.</v>
    <v>27682</v>
    <v>Indonesia Stock Exchange</v>
    <v>XIDX</v>
    <v>XIDX</v>
    <v>Menara BCA, Grand, Jl. MH Thamrin No. 1, JAKARTA PUSAT, DKI JAKARTA, 10310 ID</v>
    <v>6100</v>
    <v>Banking Services</v>
    <v>Stock</v>
    <v>46185.385416666664</v>
    <v>48</v>
    <v>5900</v>
    <v>723100600000000</v>
    <v>PT Bank Central Asia Tbk</v>
    <v>PT Bank Central Asia Tbk</v>
    <v>6000</v>
    <v>5825</v>
    <v>5925</v>
    <v>122042300000</v>
    <v>BBCA</v>
    <v>PT Bank Central Asia Tbk (XIDX:BBCA)</v>
    <v>415872300</v>
    <v>252747381.4815</v>
    <v>1955</v>
  </rv>
  <rv s="1">
    <v>49</v>
  </rv>
  <rv s="2">
    <fb>5850</fb>
    <v>5</v>
  </rv>
  <rv s="2">
    <fb>8075</fb>
    <v>5</v>
  </rv>
  <rv s="2">
    <fb>9675</fb>
    <v>5</v>
  </rv>
  <rv s="2">
    <fb>9400</fb>
    <v>5</v>
  </rv>
  <rv s="2">
    <fb>8550</fb>
    <v>5</v>
  </rv>
  <rv s="2">
    <fb>7300</fb>
    <v>5</v>
  </rv>
  <rv s="2">
    <fb>6770</fb>
    <v>5</v>
  </rv>
  <rv s="2">
    <fb>6685</fb>
    <v>5</v>
  </rv>
  <rv s="2">
    <fb>5200</fb>
    <v>5</v>
  </rv>
  <rv s="2">
    <fb>4380</fb>
    <v>5</v>
  </rv>
  <rv s="2">
    <fb>3100</fb>
    <v>5</v>
  </rv>
  <rv s="2">
    <fb>2660</fb>
    <v>5</v>
  </rv>
  <rv s="2">
    <fb>2625</fb>
    <v>5</v>
  </rv>
  <rv s="2">
    <fb>1920</fb>
    <v>5</v>
  </rv>
  <rv s="2">
    <fb>1820</fb>
    <v>5</v>
  </rv>
  <rv s="2">
    <fb>1600</fb>
    <v>5</v>
  </rv>
  <rv s="2">
    <fb>1280</fb>
    <v>5</v>
  </rv>
  <rv s="2">
    <fb>945</fb>
    <v>5</v>
  </rv>
  <rv s="2">
    <fb>650</fb>
    <v>5</v>
  </rv>
  <rv s="3">
    <v>https://www.bing.com/financeapi/forcetrigger?t=bn91p2&amp;q=XIDX%3aBBRI&amp;form=skydnc</v>
    <v>Learn more on Bing</v>
  </rv>
  <rv s="4">
    <v>en-ID</v>
    <v>bn91p2</v>
    <v>268435456</v>
    <v>1</v>
    <v>Powered by Refinitiv</v>
    <v>6</v>
    <v>PT Bank Rakyat Indonesia (Persero) Tbk (XIDX:BBRI)</v>
    <v>7</v>
    <v>3</v>
    <v>Finance</v>
    <v>4</v>
    <v>4270</v>
    <v>2540</v>
    <v>1.1338999999999999</v>
    <v>0</v>
    <v>0</v>
    <v>IDR</v>
    <v>PT Bank Rakyat Indonesia (Persero) Tbk operates in the banking sector. It collects funds from the public in the form of savings and other liabilities and provides loans to borrowers to help to finance business expansion. Its segments include Micro, Retail Business, Corporate, Others, and Subsidiaries. The Micro segment is intended to serve the needs of banking products and services for individual customers and micro-entrepreneurs in the context of empowering community businesses. Retail Business is intended to serve small and medium entrepreneurs, including through consumer and commercial banking products and services. Corporate segment includes corporate business, institutional business and transaction banking, syndication business and non-bank financial institution services. Other segments include treasury business, international business and capital market support services business. It offers savings products, such as BRI BritAma Savings, BRI Simpedes Savings, and BRI Junio Savings.</v>
    <v>82203</v>
    <v>Indonesia Stock Exchange</v>
    <v>XIDX</v>
    <v>XIDX</v>
    <v>Gedung BRI Jl. Jenderal Sudirman, Kav.44-46, Jakarta Pusat, DKI JAKARTA, 10210 ID</v>
    <v>2900</v>
    <v>Banking Services</v>
    <v>Stock</v>
    <v>46185.385416666664</v>
    <v>70</v>
    <v>2830</v>
    <v>427623700000000</v>
    <v>PT Bank Rakyat Indonesia (Persero) Tbk</v>
    <v>PT Bank Rakyat Indonesia (Persero) Tbk</v>
    <v>2880</v>
    <v>2850</v>
    <v>2850</v>
    <v>150043400000</v>
    <v>BBRI</v>
    <v>PT Bank Rakyat Indonesia (Persero) Tbk (XIDX:BBRI)</v>
    <v>450530000</v>
    <v>316135957.40740001</v>
    <v>1992</v>
  </rv>
  <rv s="1">
    <v>71</v>
  </rv>
  <rv s="2">
    <fb>2990</fb>
    <v>5</v>
  </rv>
  <rv s="2">
    <fb>3660</fb>
    <v>5</v>
  </rv>
  <rv s="2">
    <fb>4080</fb>
    <v>5</v>
  </rv>
  <rv s="2">
    <fb>5725</fb>
    <v>5</v>
  </rv>
  <rv s="2">
    <fb>4940</fb>
    <v>5</v>
  </rv>
  <rv s="2">
    <fb>4110</fb>
    <v>5</v>
  </rv>
  <rv s="2">
    <fb>4170</fb>
    <v>5</v>
  </rv>
  <rv s="2">
    <fb>4400</fb>
    <v>5</v>
  </rv>
  <rv s="2">
    <fb>3640</fb>
    <v>5</v>
  </rv>
  <rv s="2">
    <fb>2335</fb>
    <v>5</v>
  </rv>
  <rv s="2">
    <fb>2285</fb>
    <v>5</v>
  </rv>
  <rv s="2">
    <fb>2330</fb>
    <v>5</v>
  </rv>
  <rv s="2">
    <fb>1450</fb>
    <v>5</v>
  </rv>
  <rv s="2">
    <fb>1390</fb>
    <v>5</v>
  </rv>
  <rv s="2">
    <fb>1350</fb>
    <v>5</v>
  </rv>
  <rv s="2">
    <fb>1050</fb>
    <v>5</v>
  </rv>
  <rv s="2">
    <fb>760</fb>
    <v>5</v>
  </rv>
  <rv s="2">
    <fb>457.5</fb>
    <v>5</v>
  </rv>
  <rv s="5">
    <v>8</v>
    <v>XIDX:AADI</v>
    <v>Daily</v>
    <v>45656</v>
    <v>45656</v>
    <v>0</v>
    <v>1</v>
    <v>638711136000000000,639171094534920121,0</v>
    <v>0</v>
    <v>cfatz2</v>
    <v>XIDX:AADI</v>
    <v>1</v>
  </rv>
  <rv s="5">
    <v>8</v>
    <v>XIDX:AADI</v>
    <v>Daily</v>
    <v>46021</v>
    <v>46021</v>
    <v>0</v>
    <v>1</v>
    <v>639026496000000000,639171094543572128,0</v>
    <v>0</v>
    <v>cfatz2</v>
    <v>XIDX:AADI</v>
    <v>2</v>
  </rv>
  <rv s="5">
    <v>8</v>
    <v>XIDX:AADI</v>
    <v>Daily</v>
    <v>46142</v>
    <v>46142</v>
    <v>0</v>
    <v>1</v>
    <v>639131040000000000,639171094534480338,0</v>
    <v>0</v>
    <v>cfatz2</v>
    <v>XIDX:AADI</v>
    <v>3</v>
  </rv>
  <rv s="5">
    <v>8</v>
    <v>XIDX:AALI</v>
    <v>Daily</v>
    <v>40907</v>
    <v>40907</v>
    <v>0</v>
    <v>1</v>
    <v>634608000000000000,639171094541326612,0</v>
    <v>0</v>
    <v>bn8zk2</v>
    <v>XIDX:AALI</v>
    <v>4</v>
  </rv>
  <rv s="5">
    <v>8</v>
    <v>XIDX:AALI</v>
    <v>Daily</v>
    <v>42368</v>
    <v>42368</v>
    <v>0</v>
    <v>1</v>
    <v>635870304000000000,639171094542606356,0</v>
    <v>0</v>
    <v>bn8zk2</v>
    <v>XIDX:AALI</v>
    <v>5</v>
  </rv>
  <rv s="5">
    <v>8</v>
    <v>XIDX:AALI</v>
    <v>Daily</v>
    <v>43829</v>
    <v>43829</v>
    <v>0</v>
    <v>1</v>
    <v>637132608000000000,639171094543889058,0</v>
    <v>0</v>
    <v>bn8zk2</v>
    <v>XIDX:AALI</v>
    <v>6</v>
  </rv>
  <rv s="5">
    <v>8</v>
    <v>XIDX:AALI</v>
    <v>Daily</v>
    <v>45289</v>
    <v>45289</v>
    <v>0</v>
    <v>1</v>
    <v>638394048000000000,639171094545163472,0</v>
    <v>0</v>
    <v>bn8zk2</v>
    <v>XIDX:AALI</v>
    <v>7</v>
  </rv>
  <rv s="5">
    <v>8</v>
    <v>XIDX:AALI</v>
    <v>Daily</v>
    <v>46142</v>
    <v>46142</v>
    <v>0</v>
    <v>1</v>
    <v>639131040000000000,639171094533625805,0</v>
    <v>0</v>
    <v>bn8zk2</v>
    <v>XIDX:AALI</v>
    <v>8</v>
  </rv>
  <rv s="5">
    <v>8</v>
    <v>XIDX:AALI</v>
    <v>Daily</v>
    <v>40176</v>
    <v>40176</v>
    <v>0</v>
    <v>1</v>
    <v>633976416000000000,639171094536152994,0</v>
    <v>0</v>
    <v>bn8zk2</v>
    <v>XIDX:AALI</v>
    <v>9</v>
  </rv>
  <rv s="5">
    <v>8</v>
    <v>XIDX:AALI</v>
    <v>Daily</v>
    <v>43098</v>
    <v>43098</v>
    <v>0</v>
    <v>1</v>
    <v>636501024000000000,639171094537593025,0</v>
    <v>0</v>
    <v>bn8zk2</v>
    <v>XIDX:AALI</v>
    <v>10</v>
  </rv>
  <rv s="5">
    <v>8</v>
    <v>XIDX:AALI</v>
    <v>Daily</v>
    <v>44560</v>
    <v>44560</v>
    <v>0</v>
    <v>1</v>
    <v>637764192000000000,639171094538821304,0</v>
    <v>0</v>
    <v>bn8zk2</v>
    <v>XIDX:AALI</v>
    <v>11</v>
  </rv>
  <rv s="5">
    <v>8</v>
    <v>XIDX:AALI</v>
    <v>Daily</v>
    <v>42003</v>
    <v>42003</v>
    <v>0</v>
    <v>1</v>
    <v>635554944000000000,639171094540047605,0</v>
    <v>0</v>
    <v>bn8zk2</v>
    <v>XIDX:AALI</v>
    <v>12</v>
  </rv>
  <rv s="5">
    <v>8</v>
    <v>XIDX:AALI</v>
    <v>Daily</v>
    <v>39812</v>
    <v>39812</v>
    <v>0</v>
    <v>1</v>
    <v>633661920000000000,639171094536063394,0</v>
    <v>0</v>
    <v>bn8zk2</v>
    <v>XIDX:AALI</v>
    <v>13</v>
  </rv>
  <rv s="5">
    <v>8</v>
    <v>XIDX:AALI</v>
    <v>Daily</v>
    <v>41271</v>
    <v>41271</v>
    <v>0</v>
    <v>1</v>
    <v>634922496000000000,639171094537284381,0</v>
    <v>0</v>
    <v>bn8zk2</v>
    <v>XIDX:AALI</v>
    <v>14</v>
  </rv>
  <rv s="5">
    <v>8</v>
    <v>XIDX:AALI</v>
    <v>Daily</v>
    <v>42734</v>
    <v>42734</v>
    <v>0</v>
    <v>1</v>
    <v>636186528000000000,639171094538518960,0</v>
    <v>0</v>
    <v>bn8zk2</v>
    <v>XIDX:AALI</v>
    <v>15</v>
  </rv>
  <rv s="5">
    <v>8</v>
    <v>XIDX:AALI</v>
    <v>Daily</v>
    <v>44195</v>
    <v>44195</v>
    <v>0</v>
    <v>1</v>
    <v>637448832000000000,639171094539738959,0</v>
    <v>0</v>
    <v>bn8zk2</v>
    <v>XIDX:AALI</v>
    <v>16</v>
  </rv>
  <rv s="5">
    <v>8</v>
    <v>XIDX:AALI</v>
    <v>Daily</v>
    <v>45656</v>
    <v>45656</v>
    <v>0</v>
    <v>1</v>
    <v>638711136000000000,639171094541037900,0</v>
    <v>0</v>
    <v>bn8zk2</v>
    <v>XIDX:AALI</v>
    <v>17</v>
  </rv>
  <rv s="5">
    <v>8</v>
    <v>XIDX:AALI</v>
    <v>Daily</v>
    <v>41638</v>
    <v>41638</v>
    <v>0</v>
    <v>1</v>
    <v>635239584000000000,639171094537349440,0</v>
    <v>0</v>
    <v>bn8zk2</v>
    <v>XIDX:AALI</v>
    <v>18</v>
  </rv>
  <rv s="5">
    <v>8</v>
    <v>XIDX:AALI</v>
    <v>Daily</v>
    <v>46021</v>
    <v>46021</v>
    <v>0</v>
    <v>1</v>
    <v>639026496000000000,639171094538584029,0</v>
    <v>0</v>
    <v>bn8zk2</v>
    <v>XIDX:AALI</v>
    <v>19</v>
  </rv>
  <rv s="5">
    <v>8</v>
    <v>XIDX:AALI</v>
    <v>Daily</v>
    <v>40542</v>
    <v>40542</v>
    <v>0</v>
    <v>1</v>
    <v>634292640000000000,639171094541041550,0</v>
    <v>0</v>
    <v>bn8zk2</v>
    <v>XIDX:AALI</v>
    <v>20</v>
  </rv>
  <rv s="5">
    <v>8</v>
    <v>XIDX:AALI</v>
    <v>Daily</v>
    <v>43462</v>
    <v>43462</v>
    <v>0</v>
    <v>1</v>
    <v>636815520000000000,639171094542395609,0</v>
    <v>0</v>
    <v>bn8zk2</v>
    <v>XIDX:AALI</v>
    <v>21</v>
  </rv>
  <rv s="5">
    <v>8</v>
    <v>XIDX:AALI</v>
    <v>Daily</v>
    <v>44925</v>
    <v>44925</v>
    <v>0</v>
    <v>1</v>
    <v>638079552000000000,639171094543676293,0</v>
    <v>0</v>
    <v>bn8zk2</v>
    <v>XIDX:AALI</v>
    <v>22</v>
  </rv>
  <rv s="5">
    <v>8</v>
    <v>XIDX:BBRI</v>
    <v>Daily</v>
    <v>40176</v>
    <v>40176</v>
    <v>0</v>
    <v>1</v>
    <v>633976416000000000,639171094533289324,0</v>
    <v>0</v>
    <v>bn91p2</v>
    <v>XIDX:BBRI</v>
    <v>23</v>
  </rv>
  <rv s="5">
    <v>8</v>
    <v>XIDX:BBRI</v>
    <v>Daily</v>
    <v>41638</v>
    <v>41638</v>
    <v>0</v>
    <v>1</v>
    <v>635239584000000000,639171094534573673,0</v>
    <v>0</v>
    <v>bn91p2</v>
    <v>XIDX:BBRI</v>
    <v>24</v>
  </rv>
  <rv s="5">
    <v>8</v>
    <v>XIDX:BBRI</v>
    <v>Daily</v>
    <v>43098</v>
    <v>43098</v>
    <v>0</v>
    <v>1</v>
    <v>636501024000000000,639171094535834938,0</v>
    <v>0</v>
    <v>bn91p2</v>
    <v>XIDX:BBRI</v>
    <v>25</v>
  </rv>
  <rv s="5">
    <v>8</v>
    <v>XIDX:BBRI</v>
    <v>Daily</v>
    <v>44560</v>
    <v>44560</v>
    <v>0</v>
    <v>1</v>
    <v>637764192000000000,639171094537166018,0</v>
    <v>0</v>
    <v>bn91p2</v>
    <v>XIDX:BBRI</v>
    <v>26</v>
  </rv>
  <rv s="5">
    <v>8</v>
    <v>XIDX:BBRI</v>
    <v>Daily</v>
    <v>46021</v>
    <v>46021</v>
    <v>0</v>
    <v>1</v>
    <v>639026496000000000,639171094538430467,0</v>
    <v>0</v>
    <v>bn91p2</v>
    <v>XIDX:BBRI</v>
    <v>27</v>
  </rv>
  <rv s="5">
    <v>8</v>
    <v>XIDX:BBRI</v>
    <v>Daily</v>
    <v>40542</v>
    <v>40542</v>
    <v>0</v>
    <v>1</v>
    <v>634292640000000000,639171094544868526,0</v>
    <v>0</v>
    <v>bn91p2</v>
    <v>XIDX:BBRI</v>
    <v>28</v>
  </rv>
  <rv s="5">
    <v>8</v>
    <v>XIDX:BBRI</v>
    <v>Daily</v>
    <v>42003</v>
    <v>42003</v>
    <v>0</v>
    <v>1</v>
    <v>635554944000000000,639171094531915340,0</v>
    <v>0</v>
    <v>bn91p2</v>
    <v>XIDX:BBRI</v>
    <v>29</v>
  </rv>
  <rv s="5">
    <v>8</v>
    <v>XIDX:BBRI</v>
    <v>Daily</v>
    <v>43462</v>
    <v>43462</v>
    <v>0</v>
    <v>1</v>
    <v>636815520000000000,639171094533253140,0</v>
    <v>0</v>
    <v>bn91p2</v>
    <v>XIDX:BBRI</v>
    <v>27</v>
  </rv>
  <rv s="5">
    <v>8</v>
    <v>XIDX:BBRI</v>
    <v>Daily</v>
    <v>44925</v>
    <v>44925</v>
    <v>0</v>
    <v>1</v>
    <v>638079552000000000,639171094534537512,0</v>
    <v>0</v>
    <v>bn91p2</v>
    <v>XIDX:BBRI</v>
    <v>30</v>
  </rv>
  <rv s="5">
    <v>8</v>
    <v>XIDX:BBRI</v>
    <v>Daily</v>
    <v>40907</v>
    <v>40907</v>
    <v>0</v>
    <v>1</v>
    <v>634608000000000000,639171094535824985,0</v>
    <v>0</v>
    <v>bn91p2</v>
    <v>XIDX:BBRI</v>
    <v>31</v>
  </rv>
  <rv s="5">
    <v>8</v>
    <v>XIDX:BBRI</v>
    <v>Daily</v>
    <v>42368</v>
    <v>42368</v>
    <v>0</v>
    <v>1</v>
    <v>635870304000000000,639171094537089417,0</v>
    <v>0</v>
    <v>bn91p2</v>
    <v>XIDX:BBRI</v>
    <v>32</v>
  </rv>
  <rv s="5">
    <v>8</v>
    <v>XIDX:BBRI</v>
    <v>Daily</v>
    <v>43829</v>
    <v>43829</v>
    <v>0</v>
    <v>1</v>
    <v>637132608000000000,639171094538311002,0</v>
    <v>0</v>
    <v>bn91p2</v>
    <v>XIDX:BBRI</v>
    <v>33</v>
  </rv>
  <rv s="5">
    <v>8</v>
    <v>XIDX:BBRI</v>
    <v>Daily</v>
    <v>45289</v>
    <v>45289</v>
    <v>0</v>
    <v>1</v>
    <v>638394048000000000,639171094539588470,0</v>
    <v>0</v>
    <v>bn91p2</v>
    <v>XIDX:BBRI</v>
    <v>34</v>
  </rv>
  <rv s="5">
    <v>8</v>
    <v>XIDX:BBRI</v>
    <v>Daily</v>
    <v>46142</v>
    <v>46142</v>
    <v>0</v>
    <v>1</v>
    <v>639131040000000000,639171094540849868,0</v>
    <v>0</v>
    <v>bn91p2</v>
    <v>XIDX:BBRI</v>
    <v>35</v>
  </rv>
  <rv s="5">
    <v>8</v>
    <v>XIDX:BBRI</v>
    <v>Daily</v>
    <v>42734</v>
    <v>42734</v>
    <v>0</v>
    <v>1</v>
    <v>636186528000000000,639171094543391814,0</v>
    <v>0</v>
    <v>bn91p2</v>
    <v>XIDX:BBRI</v>
    <v>36</v>
  </rv>
  <rv s="5">
    <v>8</v>
    <v>XIDX:BBRI</v>
    <v>Daily</v>
    <v>44195</v>
    <v>44195</v>
    <v>0</v>
    <v>1</v>
    <v>637448832000000000,639171094537348287,0</v>
    <v>0</v>
    <v>bn91p2</v>
    <v>XIDX:BBRI</v>
    <v>37</v>
  </rv>
  <rv s="5">
    <v>8</v>
    <v>XIDX:BBRI</v>
    <v>Daily</v>
    <v>39812</v>
    <v>39812</v>
    <v>0</v>
    <v>1</v>
    <v>633661920000000000,639171094535868014,0</v>
    <v>0</v>
    <v>bn91p2</v>
    <v>XIDX:BBRI</v>
    <v>38</v>
  </rv>
  <rv s="5">
    <v>8</v>
    <v>XIDX:BBRI</v>
    <v>Daily</v>
    <v>45656</v>
    <v>45656</v>
    <v>0</v>
    <v>1</v>
    <v>638711136000000000,639171094537129257,0</v>
    <v>0</v>
    <v>bn91p2</v>
    <v>XIDX:BBRI</v>
    <v>39</v>
  </rv>
  <rv s="5">
    <v>8</v>
    <v>XIDX:BBRI</v>
    <v>Daily</v>
    <v>41271</v>
    <v>41271</v>
    <v>0</v>
    <v>1</v>
    <v>634922496000000000,639171094544649467,0</v>
    <v>0</v>
    <v>bn91p2</v>
    <v>XIDX:BBRI</v>
    <v>40</v>
  </rv>
  <rv s="5">
    <v>8</v>
    <v>XIDX:BBCA</v>
    <v>Daily</v>
    <v>40542</v>
    <v>40542</v>
    <v>0</v>
    <v>1</v>
    <v>634292640000000000,639171094539714716,0</v>
    <v>0</v>
    <v>bn91jc</v>
    <v>XIDX:BBCA</v>
    <v>41</v>
  </rv>
  <rv s="5">
    <v>8</v>
    <v>XIDX:BBCA</v>
    <v>Daily</v>
    <v>42003</v>
    <v>42003</v>
    <v>0</v>
    <v>1</v>
    <v>635554944000000000,639171094540999528,0</v>
    <v>0</v>
    <v>bn91jc</v>
    <v>XIDX:BBCA</v>
    <v>42</v>
  </rv>
  <rv s="5">
    <v>8</v>
    <v>XIDX:BBCA</v>
    <v>Daily</v>
    <v>43462</v>
    <v>43462</v>
    <v>0</v>
    <v>1</v>
    <v>636815520000000000,639171094542323404,0</v>
    <v>0</v>
    <v>bn91jc</v>
    <v>XIDX:BBCA</v>
    <v>43</v>
  </rv>
  <rv s="5">
    <v>8</v>
    <v>XIDX:BBCA</v>
    <v>Daily</v>
    <v>44925</v>
    <v>44925</v>
    <v>0</v>
    <v>1</v>
    <v>638079552000000000,639171094543598103,0</v>
    <v>0</v>
    <v>bn91jc</v>
    <v>XIDX:BBCA</v>
    <v>44</v>
  </rv>
  <rv s="5">
    <v>8</v>
    <v>XIDX:BBCA</v>
    <v>Daily</v>
    <v>39812</v>
    <v>39812</v>
    <v>0</v>
    <v>1</v>
    <v>633661920000000000,639171094542124148,0</v>
    <v>0</v>
    <v>bn91jc</v>
    <v>XIDX:BBCA</v>
    <v>45</v>
  </rv>
  <rv s="5">
    <v>8</v>
    <v>XIDX:BBCA</v>
    <v>Daily</v>
    <v>41638</v>
    <v>41638</v>
    <v>0</v>
    <v>1</v>
    <v>635239584000000000,639171094533522357,0</v>
    <v>0</v>
    <v>bn91jc</v>
    <v>XIDX:BBCA</v>
    <v>46</v>
  </rv>
  <rv s="5">
    <v>8</v>
    <v>XIDX:BBCA</v>
    <v>Daily</v>
    <v>43829</v>
    <v>43829</v>
    <v>0</v>
    <v>1</v>
    <v>637132608000000000,639171094534846563,0</v>
    <v>0</v>
    <v>bn91jc</v>
    <v>XIDX:BBCA</v>
    <v>47</v>
  </rv>
  <rv s="5">
    <v>8</v>
    <v>XIDX:BBCA</v>
    <v>Daily</v>
    <v>45656</v>
    <v>45656</v>
    <v>0</v>
    <v>1</v>
    <v>638711136000000000,639171094536080827,0</v>
    <v>0</v>
    <v>bn91jc</v>
    <v>XIDX:BBCA</v>
    <v>48</v>
  </rv>
  <rv s="5">
    <v>8</v>
    <v>XIDX:BBCA</v>
    <v>Daily</v>
    <v>40176</v>
    <v>40176</v>
    <v>0</v>
    <v>1</v>
    <v>633976416000000000,639171094538619519,0</v>
    <v>0</v>
    <v>bn91jc</v>
    <v>XIDX:BBCA</v>
    <v>49</v>
  </rv>
  <rv s="5">
    <v>8</v>
    <v>XIDX:BBCA</v>
    <v>Daily</v>
    <v>42368</v>
    <v>42368</v>
    <v>0</v>
    <v>1</v>
    <v>635870304000000000,639171094539913840,0</v>
    <v>0</v>
    <v>bn91jc</v>
    <v>XIDX:BBCA</v>
    <v>50</v>
  </rv>
  <rv s="5">
    <v>8</v>
    <v>XIDX:BBCA</v>
    <v>Daily</v>
    <v>44195</v>
    <v>44195</v>
    <v>0</v>
    <v>1</v>
    <v>637448832000000000,639171094541257944,0</v>
    <v>0</v>
    <v>bn91jc</v>
    <v>XIDX:BBCA</v>
    <v>51</v>
  </rv>
  <rv s="5">
    <v>8</v>
    <v>XIDX:BBCA</v>
    <v>Daily</v>
    <v>46021</v>
    <v>46021</v>
    <v>0</v>
    <v>1</v>
    <v>639026496000000000,639171094542542335,0</v>
    <v>0</v>
    <v>bn91jc</v>
    <v>XIDX:BBCA</v>
    <v>52</v>
  </rv>
  <rv s="5">
    <v>8</v>
    <v>XIDX:BBCA</v>
    <v>Daily</v>
    <v>42734</v>
    <v>42734</v>
    <v>0</v>
    <v>1</v>
    <v>636186528000000000,639171094538410897,0</v>
    <v>0</v>
    <v>bn91jc</v>
    <v>XIDX:BBCA</v>
    <v>53</v>
  </rv>
  <rv s="5">
    <v>8</v>
    <v>XIDX:BBCA</v>
    <v>Daily</v>
    <v>43098</v>
    <v>43098</v>
    <v>0</v>
    <v>1</v>
    <v>636501024000000000,639171094533392446,0</v>
    <v>0</v>
    <v>bn91jc</v>
    <v>XIDX:BBCA</v>
    <v>54</v>
  </rv>
  <rv s="5">
    <v>8</v>
    <v>XIDX:BBCA</v>
    <v>Daily</v>
    <v>46142</v>
    <v>46142</v>
    <v>0</v>
    <v>1</v>
    <v>639131040000000000,639171094534676810,0</v>
    <v>0</v>
    <v>bn91jc</v>
    <v>XIDX:BBCA</v>
    <v>55</v>
  </rv>
  <rv s="5">
    <v>8</v>
    <v>XIDX:BBCA</v>
    <v>Daily</v>
    <v>40907</v>
    <v>40907</v>
    <v>0</v>
    <v>1</v>
    <v>634608000000000000,639171094542512445,0</v>
    <v>0</v>
    <v>bn91jc</v>
    <v>XIDX:BBCA</v>
    <v>56</v>
  </rv>
  <rv s="5">
    <v>8</v>
    <v>XIDX:BBCA</v>
    <v>Daily</v>
    <v>44560</v>
    <v>44560</v>
    <v>0</v>
    <v>1</v>
    <v>637764192000000000,639171094543846612,0</v>
    <v>0</v>
    <v>bn91jc</v>
    <v>XIDX:BBCA</v>
    <v>57</v>
  </rv>
  <rv s="5">
    <v>8</v>
    <v>XIDX:BBCA</v>
    <v>Daily</v>
    <v>41271</v>
    <v>41271</v>
    <v>0</v>
    <v>1</v>
    <v>634922496000000000,639171094544931855,0</v>
    <v>0</v>
    <v>bn91jc</v>
    <v>XIDX:BBCA</v>
    <v>58</v>
  </rv>
  <rv s="5">
    <v>8</v>
    <v>XIDX:BBCA</v>
    <v>Daily</v>
    <v>45289</v>
    <v>45289</v>
    <v>0</v>
    <v>1</v>
    <v>638394048000000000,639171094533263013,0</v>
    <v>0</v>
    <v>bn91jc</v>
    <v>XIDX:BBCA</v>
    <v>59</v>
  </rv>
  <rv s="5">
    <v>8</v>
    <v>XIDX:ANTM</v>
    <v>Daily</v>
    <v>40542</v>
    <v>40542</v>
    <v>0</v>
    <v>1</v>
    <v>634292640000000000,639171094543855506,0</v>
    <v>0</v>
    <v>bn8zmw</v>
    <v>XIDX:ANTM</v>
    <v>60</v>
  </rv>
  <rv s="5">
    <v>8</v>
    <v>XIDX:ANTM</v>
    <v>Daily</v>
    <v>42003</v>
    <v>42003</v>
    <v>0</v>
    <v>1</v>
    <v>635554944000000000,639171094545100050,0</v>
    <v>0</v>
    <v>bn8zmw</v>
    <v>XIDX:ANTM</v>
    <v>61</v>
  </rv>
  <rv s="5">
    <v>8</v>
    <v>XIDX:ANTM</v>
    <v>Daily</v>
    <v>43462</v>
    <v>43462</v>
    <v>0</v>
    <v>1</v>
    <v>636815520000000000,639171094533365234,0</v>
    <v>0</v>
    <v>bn8zmw</v>
    <v>XIDX:ANTM</v>
    <v>62</v>
  </rv>
  <rv s="5">
    <v>8</v>
    <v>XIDX:ANTM</v>
    <v>Daily</v>
    <v>44925</v>
    <v>44925</v>
    <v>0</v>
    <v>1</v>
    <v>638079552000000000,639171094534589853,0</v>
    <v>0</v>
    <v>bn8zmw</v>
    <v>XIDX:ANTM</v>
    <v>63</v>
  </rv>
  <rv s="5">
    <v>8</v>
    <v>XIDX:ANTM</v>
    <v>Daily</v>
    <v>39812</v>
    <v>39812</v>
    <v>0</v>
    <v>1</v>
    <v>633661920000000000,639171094539644014,0</v>
    <v>0</v>
    <v>bn8zmw</v>
    <v>XIDX:ANTM</v>
    <v>64</v>
  </rv>
  <rv s="5">
    <v>8</v>
    <v>XIDX:ANTM</v>
    <v>Daily</v>
    <v>41638</v>
    <v>41638</v>
    <v>0</v>
    <v>1</v>
    <v>635239584000000000,639171094540918404,0</v>
    <v>0</v>
    <v>bn8zmw</v>
    <v>XIDX:ANTM</v>
    <v>64</v>
  </rv>
  <rv s="5">
    <v>8</v>
    <v>XIDX:ANTM</v>
    <v>Daily</v>
    <v>43829</v>
    <v>43829</v>
    <v>0</v>
    <v>1</v>
    <v>637132608000000000,639171094542158327,0</v>
    <v>0</v>
    <v>bn8zmw</v>
    <v>XIDX:ANTM</v>
    <v>65</v>
  </rv>
  <rv s="5">
    <v>8</v>
    <v>XIDX:ANTM</v>
    <v>Daily</v>
    <v>45656</v>
    <v>45656</v>
    <v>0</v>
    <v>1</v>
    <v>638711136000000000,639171094543431068,0</v>
    <v>0</v>
    <v>bn8zmw</v>
    <v>XIDX:ANTM</v>
    <v>66</v>
  </rv>
  <rv s="5">
    <v>8</v>
    <v>XIDX:ANTM</v>
    <v>Daily</v>
    <v>40176</v>
    <v>40176</v>
    <v>0</v>
    <v>1</v>
    <v>633976416000000000,639171094535943916,0</v>
    <v>0</v>
    <v>bn8zmw</v>
    <v>XIDX:ANTM</v>
    <v>67</v>
  </rv>
  <rv s="5">
    <v>8</v>
    <v>XIDX:ANTM</v>
    <v>Daily</v>
    <v>42368</v>
    <v>42368</v>
    <v>0</v>
    <v>1</v>
    <v>635870304000000000,639171094537210062,0</v>
    <v>0</v>
    <v>bn8zmw</v>
    <v>XIDX:ANTM</v>
    <v>68</v>
  </rv>
  <rv s="5">
    <v>8</v>
    <v>XIDX:ANTM</v>
    <v>Daily</v>
    <v>44195</v>
    <v>44195</v>
    <v>0</v>
    <v>1</v>
    <v>637448832000000000,639171094538492731,0</v>
    <v>0</v>
    <v>bn8zmw</v>
    <v>XIDX:ANTM</v>
    <v>69</v>
  </rv>
  <rv s="5">
    <v>8</v>
    <v>XIDX:ANTM</v>
    <v>Daily</v>
    <v>46021</v>
    <v>46021</v>
    <v>0</v>
    <v>1</v>
    <v>639026496000000000,639171094539828565,0</v>
    <v>0</v>
    <v>bn8zmw</v>
    <v>XIDX:ANTM</v>
    <v>70</v>
  </rv>
  <rv s="5">
    <v>8</v>
    <v>XIDX:ANTM</v>
    <v>Daily</v>
    <v>40907</v>
    <v>40907</v>
    <v>0</v>
    <v>1</v>
    <v>634608000000000000,639171094545173425,0</v>
    <v>0</v>
    <v>bn8zmw</v>
    <v>XIDX:ANTM</v>
    <v>71</v>
  </rv>
  <rv s="5">
    <v>8</v>
    <v>XIDX:ANTM</v>
    <v>Daily</v>
    <v>42734</v>
    <v>42734</v>
    <v>0</v>
    <v>1</v>
    <v>636186528000000000,639171094533595937,0</v>
    <v>0</v>
    <v>bn8zmw</v>
    <v>XIDX:ANTM</v>
    <v>72</v>
  </rv>
  <rv s="5">
    <v>8</v>
    <v>XIDX:ANTM</v>
    <v>Daily</v>
    <v>44560</v>
    <v>44560</v>
    <v>0</v>
    <v>1</v>
    <v>637764192000000000,639171094534818850,0</v>
    <v>0</v>
    <v>bn8zmw</v>
    <v>XIDX:ANTM</v>
    <v>73</v>
  </rv>
  <rv s="5">
    <v>8</v>
    <v>XIDX:ANTM</v>
    <v>Daily</v>
    <v>41271</v>
    <v>41271</v>
    <v>0</v>
    <v>1</v>
    <v>634922496000000000,639171094544904593,0</v>
    <v>0</v>
    <v>bn8zmw</v>
    <v>XIDX:ANTM</v>
    <v>74</v>
  </rv>
  <rv s="5">
    <v>8</v>
    <v>XIDX:ANTM</v>
    <v>Daily</v>
    <v>43098</v>
    <v>43098</v>
    <v>0</v>
    <v>1</v>
    <v>636501024000000000,639171094533534487,0</v>
    <v>0</v>
    <v>bn8zmw</v>
    <v>XIDX:ANTM</v>
    <v>75</v>
  </rv>
  <rv s="5">
    <v>8</v>
    <v>XIDX:ANTM</v>
    <v>Daily</v>
    <v>45289</v>
    <v>45289</v>
    <v>0</v>
    <v>1</v>
    <v>638394048000000000,639171094534810601,0</v>
    <v>0</v>
    <v>bn8zmw</v>
    <v>XIDX:ANTM</v>
    <v>76</v>
  </rv>
  <rv s="5">
    <v>8</v>
    <v>XIDX:ANTM</v>
    <v>Daily</v>
    <v>46142</v>
    <v>46142</v>
    <v>0</v>
    <v>1</v>
    <v>639131040000000000,639171094536053435,0</v>
    <v>0</v>
    <v>bn8zmw</v>
    <v>XIDX:ANTM</v>
    <v>77</v>
  </rv>
</rvData>
</file>

<file path=xl/richData/rdrichvaluestructure.xml><?xml version="1.0" encoding="utf-8"?>
<rvStructures xmlns="http://schemas.microsoft.com/office/spreadsheetml/2017/richdata" count="6">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
    <k n="%cvi" t="r"/>
  </s>
  <s t="_formattednumber">
    <k n="_Format" t="spb"/>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2">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9">
    <spb s="0">
      <v>0</v>
      <v>Name</v>
    </spb>
    <spb s="1">
      <v>0</v>
      <v>0</v>
      <v>0</v>
    </spb>
    <spb s="2">
      <v>1</v>
      <v>1</v>
      <v>1</v>
    </spb>
    <spb s="3">
      <v>1</v>
      <v>2</v>
      <v>1</v>
      <v>3</v>
      <v>1</v>
      <v>1</v>
      <v>1</v>
      <v>4</v>
      <v>4</v>
      <v>5</v>
      <v>6</v>
      <v>1</v>
      <v>1</v>
      <v>1</v>
      <v>4</v>
      <v>7</v>
      <v>8</v>
      <v>9</v>
      <v>4</v>
    </spb>
    <spb s="4">
      <v>Delayed 15 minutes</v>
      <v>from previous close</v>
      <v>from previous close</v>
      <v>GMT</v>
    </spb>
    <spb s="5">
      <v>1</v>
    </spb>
    <spb s="6">
      <v>1</v>
      <v>Name</v>
      <v>LearnMoreOnLink</v>
    </spb>
    <spb s="7">
      <v>1</v>
      <v>1</v>
      <v>1</v>
      <v>1</v>
    </spb>
    <spb s="8">
      <v>10</v>
      <v>1</v>
    </spb>
  </spbData>
</supportingPropertyBags>
</file>

<file path=xl/richData/rdsupportingpropertybagstructure.xml><?xml version="1.0" encoding="utf-8"?>
<spbStructures xmlns="http://schemas.microsoft.com/office/spreadsheetml/2017/richdata2" count="9">
  <s>
    <k n="^Order" t="spba"/>
    <k n="TitleProperty" t="s"/>
  </s>
  <s>
    <k n="ShowInCardView" t="b"/>
    <k n="ShowInDotNotation" t="b"/>
    <k n="ShowInAutoComplete" t="b"/>
  </s>
  <s>
    <k n="ExchangeID" t="spb"/>
    <k n="UniqueName" t="spb"/>
    <k n="`%ProviderInfo"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_Self" t="i"/>
  </s>
  <s>
    <k n="^Order" t="spba"/>
    <k n="TitleProperty" t="s"/>
    <k n="SubTitleProperty" t="s"/>
  </s>
  <s>
    <k n="ExchangeID" t="spb"/>
    <k n="UniqueName" t="spb"/>
    <k n="`%ProviderInfo" t="spb"/>
    <k n="LearnMoreOnLink" t="spb"/>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19" formatCode="dd/mm/yyyy"/>
    </x:dxf>
    <x:dxf>
      <x:numFmt numFmtId="0" formatCode="General"/>
    </x:dxf>
    <x:dxf>
      <x:numFmt numFmtId="2" formatCode="0.00"/>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_-[$Rp-en-ID]* #,##0.00_-;-[$Rp-en-ID]* #,##0.00_-;_-[$Rp-en-ID]* "-"??_-;_-@_-</rpv>
    </rSty>
    <rSty dxfid="6">
      <rpv i="0">#,##0.00</rpv>
    </rSty>
    <rSty>
      <rpv i="1">1</rpv>
    </rSty>
    <rSty dxfid="5">
      <rpv i="0">#,##0</rpv>
    </rSty>
    <rSty dxfid="4"/>
    <rSty dxfid="1">
      <rpv i="0">_-[$Rp-en-ID]* #,##0_-;-[$Rp-en-ID]* #,##0_-;_-[$Rp-en-ID]* "-"_-;_-@_-</rpv>
    </rSty>
    <rSty dxfid="3"/>
    <rSty dxfid="7">
      <rpv i="0">0</rpv>
    </rSty>
    <rSty dxfid="2">
      <rpv i="0">0.00</rpv>
    </rSty>
    <rSty dxfid="0"/>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24"/>
  <sheetViews>
    <sheetView workbookViewId="0">
      <selection activeCell="C2" sqref="C2"/>
    </sheetView>
  </sheetViews>
  <sheetFormatPr defaultRowHeight="14.5" x14ac:dyDescent="0.35"/>
  <cols>
    <col min="1" max="1" width="38.83203125" customWidth="1"/>
    <col min="2" max="2" width="28.83203125" customWidth="1"/>
    <col min="3" max="3" width="32.83203125" customWidth="1"/>
    <col min="4" max="13" width="18.83203125" customWidth="1"/>
  </cols>
  <sheetData>
    <row r="1" spans="1:13" ht="15.5" x14ac:dyDescent="0.35">
      <c r="C1" t="s">
        <v>0</v>
      </c>
      <c r="D1" t="s">
        <v>1</v>
      </c>
      <c r="H1" t="s">
        <v>2</v>
      </c>
      <c r="I1" s="1">
        <v>46021.000138888892</v>
      </c>
      <c r="J1" s="1">
        <v>45656.000138888892</v>
      </c>
      <c r="K1" s="1">
        <v>45289.000138888892</v>
      </c>
      <c r="L1" s="1">
        <v>44925.000138888892</v>
      </c>
      <c r="M1" s="1">
        <v>44560.000138888892</v>
      </c>
    </row>
    <row r="2" spans="1:13" ht="15.5" x14ac:dyDescent="0.35">
      <c r="C2" t="e" vm="1">
        <v>#VALUE!</v>
      </c>
      <c r="D2" s="2" vm="2">
        <f ca="1">IFERROR(_xlfn.STOCKHISTORY("XIDX:" &amp; $C$1, D3, , 0, 0, 1), "Libur")</f>
        <v>11600</v>
      </c>
      <c r="H2" s="2">
        <f ca="1">_FV(C2,"Price")</f>
        <v>8650</v>
      </c>
      <c r="I2" s="2" vm="3">
        <f ca="1">IFERROR(_xlfn.STOCKHISTORY("XIDX:" &amp; $C$1, I1, , 0, 0, 1), "Libur")</f>
        <v>6975</v>
      </c>
      <c r="J2" s="2" vm="4">
        <f ca="1">IFERROR(_xlfn.STOCKHISTORY("XIDX:" &amp; $C$1, J1, , 0, 0, 1), "Libur")</f>
        <v>8475</v>
      </c>
      <c r="K2" s="2" t="str">
        <f ca="1">IFERROR(_xlfn.STOCKHISTORY("XIDX:" &amp; $C$1, K1, , 0, 0, 1), "Libur")</f>
        <v>Libur</v>
      </c>
      <c r="L2" s="2" t="str">
        <f ca="1">IFERROR(_xlfn.STOCKHISTORY("XIDX:" &amp; $C$1, L1, , 0, 0, 1), "Libur")</f>
        <v>Libur</v>
      </c>
      <c r="M2" s="2" t="str">
        <f ca="1">IFERROR(_xlfn.STOCKHISTORY("XIDX:" &amp; $C$1, M1, , 0, 0, 1), "Libur")</f>
        <v>Libur</v>
      </c>
    </row>
    <row r="3" spans="1:13" ht="15.5" x14ac:dyDescent="0.35">
      <c r="D3" s="1">
        <v>46142.000138888892</v>
      </c>
    </row>
    <row r="4" spans="1:13" ht="15.5" x14ac:dyDescent="0.35">
      <c r="B4" t="s">
        <v>3</v>
      </c>
      <c r="C4" t="s">
        <v>4</v>
      </c>
      <c r="D4" s="2">
        <f>IFERROR(INDEX(D51:D500,MATCH($C$4,$C$51:$C$500,0)),"")</f>
        <v>1044192000</v>
      </c>
      <c r="H4" s="2">
        <f>IFERROR(SUM(D4:G4)*(4/MAX(1,COUNT(D4:G4))),"")</f>
        <v>4176768000</v>
      </c>
      <c r="I4" s="2">
        <f>IFERROR(INDEX(I51:I500,MATCH($C$4,$C$51:$C$500,0)),"")</f>
        <v>4910263000</v>
      </c>
      <c r="J4" s="2">
        <f>IFERROR(INDEX(J51:J500,MATCH($C$4,$C$51:$C$500,0)),"")</f>
        <v>5319582000</v>
      </c>
      <c r="K4" s="2">
        <f>IFERROR(INDEX(K51:K500,MATCH($C$4,$C$51:$C$500,0)),"")</f>
        <v>5915408000</v>
      </c>
      <c r="L4" s="2">
        <f>IFERROR(INDEX(L51:L500,MATCH($C$4,$C$51:$C$500,0)),"")</f>
        <v>7725933000</v>
      </c>
      <c r="M4" s="2">
        <f>IFERROR(INDEX(M51:M500,MATCH($C$4,$C$51:$C$500,0)),"")</f>
        <v>3862139000</v>
      </c>
    </row>
    <row r="5" spans="1:13" ht="15.5" x14ac:dyDescent="0.35">
      <c r="B5" t="s">
        <v>5</v>
      </c>
      <c r="C5" t="s">
        <v>6</v>
      </c>
      <c r="D5" s="2">
        <f>IFERROR(INDEX(D51:D500,MATCH($C$5,$C$51:$C$500,0)),"")</f>
        <v>140920000</v>
      </c>
      <c r="H5" s="2">
        <f>IFERROR(SUM(D5:G5)*(4/MAX(1,COUNT(D5:G5))),"")</f>
        <v>563680000</v>
      </c>
      <c r="I5" s="2">
        <f>IFERROR(INDEX(I51:I500,MATCH($C$5,$C$51:$C$500,0)),"")</f>
        <v>581762000</v>
      </c>
      <c r="J5" s="2">
        <f>IFERROR(INDEX(J51:J500,MATCH($C$5,$C$51:$C$500,0)),"")</f>
        <v>1191700000</v>
      </c>
      <c r="K5" s="2">
        <f>IFERROR(INDEX(K51:K500,MATCH($C$5,$C$51:$C$500,0)),"")</f>
        <v>1156964000</v>
      </c>
      <c r="L5" s="2">
        <f>IFERROR(INDEX(L51:L500,MATCH($C$5,$C$51:$C$500,0)),"")</f>
        <v>2090990000</v>
      </c>
      <c r="M5" s="2">
        <f>IFERROR(INDEX(M51:M500,MATCH($C$5,$C$51:$C$500,0)),"")</f>
        <v>798669000</v>
      </c>
    </row>
    <row r="6" spans="1:13" ht="15.5" x14ac:dyDescent="0.35">
      <c r="B6" t="s">
        <v>7</v>
      </c>
      <c r="C6" t="s">
        <v>8</v>
      </c>
      <c r="D6" s="2">
        <f>IFERROR(INDEX(D51:D500,MATCH($C$6,$C$51:$C$500,0)),"")</f>
        <v>3781230000</v>
      </c>
      <c r="H6" s="2">
        <f>IFERROR(INDEX(D6:G6,COUNT(D6:G6)),"")</f>
        <v>3781230000</v>
      </c>
      <c r="I6" s="2">
        <f>IFERROR(INDEX(I51:I500,MATCH($C$6,$C$51:$C$500,0)),"")</f>
        <v>3649628000</v>
      </c>
      <c r="J6" s="2">
        <f>IFERROR(INDEX(J51:J500,MATCH($C$6,$C$51:$C$500,0)),"")</f>
        <v>3363482000</v>
      </c>
      <c r="K6" s="2">
        <f>IFERROR(INDEX(K51:K500,MATCH($C$6,$C$51:$C$500,0)),"")</f>
        <v>4790464000</v>
      </c>
      <c r="L6" s="2">
        <f>IFERROR(INDEX(L51:L500,MATCH($C$6,$C$51:$C$500,0)),"")</f>
        <v>4508216000</v>
      </c>
      <c r="M6" s="2">
        <f>IFERROR(INDEX(M51:M500,MATCH($C$6,$C$51:$C$500,0)),"")</f>
        <v>3622050000</v>
      </c>
    </row>
    <row r="7" spans="1:13" ht="15.5" x14ac:dyDescent="0.35">
      <c r="B7" t="s">
        <v>9</v>
      </c>
      <c r="C7" t="s">
        <v>10</v>
      </c>
      <c r="D7" s="3">
        <f>IFERROR(INDEX(D51:D500,MATCH($C$7,$C$51:$C$500,0))/1000000000,"")</f>
        <v>7.79</v>
      </c>
      <c r="H7" s="3">
        <f>IFERROR(INDEX(D7:G7,COUNT(D7:G7)),"")</f>
        <v>7.79</v>
      </c>
      <c r="I7" s="3">
        <f>IFERROR(INDEX(I51:I500,MATCH($C$7,$C$51:$C$500,0))/1000000000,"")</f>
        <v>7.79</v>
      </c>
      <c r="J7" s="3">
        <f>IFERROR(INDEX(J51:J500,MATCH($C$7,$C$51:$C$500,0))/1000000000,"")</f>
        <v>7.79</v>
      </c>
      <c r="K7" s="3">
        <f>IFERROR(INDEX(K51:K500,MATCH($C$7,$C$51:$C$500,0))/1000000000,"")</f>
        <v>7.01</v>
      </c>
      <c r="L7" s="3">
        <f>IFERROR(INDEX(L51:L500,MATCH($C$7,$C$51:$C$500,0))/1000000000,"")</f>
        <v>7.01</v>
      </c>
      <c r="M7" s="3">
        <f>IFERROR(INDEX(M51:M500,MATCH($C$7,$C$51:$C$500,0))/1000000000,"")</f>
        <v>7.01</v>
      </c>
    </row>
    <row r="8" spans="1:13" ht="15.5" x14ac:dyDescent="0.35">
      <c r="A8" t="s">
        <v>11</v>
      </c>
      <c r="B8" t="s">
        <v>12</v>
      </c>
      <c r="C8" t="s">
        <v>13</v>
      </c>
      <c r="D8" s="2">
        <f>IFERROR(INDEX(D51:D500,MATCH("Free cash flow (Quarter)",$C$51:$C$500,0)),"")</f>
        <v>-538000000000</v>
      </c>
      <c r="H8" s="2">
        <f>IFERROR(INDEX(D8:G8,COUNT(D8:G8)),"")</f>
        <v>-538000000000</v>
      </c>
      <c r="I8" s="2">
        <f>IFERROR(INDEX(I51:I500,MATCH($C$8,$C$51:$C$500,0)),"")</f>
        <v>8951000000000</v>
      </c>
      <c r="J8" s="2">
        <f>IFERROR(INDEX(J51:J500,MATCH($C$8,$C$51:$C$500,0)),"")</f>
        <v>13386000000000</v>
      </c>
      <c r="K8" s="2">
        <f>IFERROR(INDEX(K51:K500,MATCH($C$8,$C$51:$C$500,0)),"")</f>
        <v>5005000000000</v>
      </c>
      <c r="L8" s="2">
        <f>IFERROR(INDEX(L51:L500,MATCH($C$8,$C$51:$C$500,0)),"")</f>
        <v>47039000000000</v>
      </c>
      <c r="M8" s="2">
        <f>IFERROR(INDEX(M51:M500,MATCH($C$8,$C$51:$C$500,0)),"")</f>
        <v>14117000000000</v>
      </c>
    </row>
    <row r="9" spans="1:13" ht="15.5" x14ac:dyDescent="0.35">
      <c r="A9" t="s">
        <v>14</v>
      </c>
      <c r="C9" t="s">
        <v>15</v>
      </c>
      <c r="D9" s="3">
        <f>IFERROR(INDEX(D51:D500,MATCH("Free cash flow per share (Quarter)",$C$51:$C$500,0)),"")</f>
        <v>-69.03</v>
      </c>
      <c r="H9" s="3">
        <f>IFERROR(INDEX(D9:G9,COUNT(D9:G9)),"")</f>
        <v>-69.03</v>
      </c>
      <c r="I9" s="3">
        <f>IFERROR(INDEX(I51:I500,MATCH($C$9,$C$51:$C$500,0)),"")</f>
        <v>1149.53</v>
      </c>
      <c r="J9" s="3">
        <f>IFERROR(INDEX(J51:J500,MATCH($C$9,$C$51:$C$500,0)),"")</f>
        <v>1718.98</v>
      </c>
      <c r="K9" s="3">
        <f>IFERROR(INDEX(K51:K500,MATCH($C$9,$C$51:$C$500,0)),"")</f>
        <v>714.2</v>
      </c>
      <c r="L9" s="3">
        <f>IFERROR(INDEX(L51:L500,MATCH($C$9,$C$51:$C$500,0)),"")</f>
        <v>6711.98</v>
      </c>
      <c r="M9" s="3">
        <f>IFERROR(INDEX(M51:M500,MATCH($C$9,$C$51:$C$500,0)),"")</f>
        <v>2014.39</v>
      </c>
    </row>
    <row r="10" spans="1:13" ht="15.5" x14ac:dyDescent="0.35">
      <c r="C10" t="s">
        <v>16</v>
      </c>
      <c r="D10" s="3">
        <f ca="1">IFERROR(IF(D9=0,"",D2/D9),"")</f>
        <v>-168.04287990728668</v>
      </c>
      <c r="I10" s="3">
        <f ca="1">IFERROR(IF(I9=0,"",I2/I9),"")</f>
        <v>6.0676972327820939</v>
      </c>
      <c r="J10" s="3">
        <f ca="1">IFERROR(IF(J9=0,"",J2/J9),"")</f>
        <v>4.9302493339073168</v>
      </c>
      <c r="K10" s="3" t="str">
        <f ca="1">IFERROR(IF(K9=0,"",K2/K9),"")</f>
        <v/>
      </c>
      <c r="L10" s="3" t="str">
        <f ca="1">IFERROR(IF(L9=0,"",L2/L9),"")</f>
        <v/>
      </c>
      <c r="M10" s="3" t="str">
        <f ca="1">IFERROR(IF(M9=0,"",M2/M9),"")</f>
        <v/>
      </c>
    </row>
    <row r="11" spans="1:13" ht="15.5" x14ac:dyDescent="0.35">
      <c r="B11" t="s">
        <v>17</v>
      </c>
      <c r="C11" t="s">
        <v>18</v>
      </c>
      <c r="D11" s="2">
        <f>IFERROR(INDEX(D51:D500,MATCH($C$11,$C$51:$C$500,0)),"")</f>
        <v>914431000</v>
      </c>
      <c r="H11" s="2">
        <f>IFERROR(INDEX(D11:G11,COUNT(D11:G11)),"")</f>
        <v>914431000</v>
      </c>
      <c r="I11" s="2">
        <f>IFERROR(INDEX(I51:I500,MATCH($C$11,$C$51:$C$500,0)),"")</f>
        <v>925445000</v>
      </c>
      <c r="J11" s="2">
        <f>IFERROR(INDEX(J51:J500,MATCH($C$11,$C$51:$C$500,0)),"")</f>
        <v>1518688000</v>
      </c>
      <c r="K11" s="2">
        <f>IFERROR(INDEX(K51:K500,MATCH($C$11,$C$51:$C$500,0)),"")</f>
        <v>2534480000</v>
      </c>
      <c r="L11" s="2">
        <f>IFERROR(INDEX(L51:L500,MATCH($C$11,$C$51:$C$500,0)),"")</f>
        <v>3380339000</v>
      </c>
      <c r="M11" s="2">
        <f>IFERROR(INDEX(M51:M500,MATCH($C$11,$C$51:$C$500,0)),"")</f>
        <v>1503070000</v>
      </c>
    </row>
    <row r="12" spans="1:13" ht="15.5" x14ac:dyDescent="0.35">
      <c r="A12" t="s">
        <v>19</v>
      </c>
      <c r="B12" t="s">
        <v>20</v>
      </c>
      <c r="C12" t="s">
        <v>21</v>
      </c>
      <c r="D12" s="2">
        <f>IFERROR(INDEX(D51:D500,MATCH("Net Debt (Quarter)",$C$51:$C$500,0)),"")</f>
        <v>-1258000000000</v>
      </c>
      <c r="H12" s="2">
        <f>IFERROR(INDEX(D12:G12,COUNT(D12:G12)),"")</f>
        <v>-1258000000000</v>
      </c>
      <c r="I12" s="2">
        <f>IFERROR(INDEX(I51:I500,MATCH($C$12,$C$51:$C$500,0)),"")</f>
        <v>-1660000000000</v>
      </c>
      <c r="J12" s="2">
        <f>IFERROR(INDEX(J51:J500,MATCH($C$12,$C$51:$C$500,0)),"")</f>
        <v>-525000000000</v>
      </c>
      <c r="K12" s="2">
        <f>IFERROR(INDEX(K51:K500,MATCH($C$12,$C$51:$C$500,0)),"")</f>
        <v>-24321000000000</v>
      </c>
      <c r="L12" s="2">
        <f>IFERROR(INDEX(L51:L500,MATCH($C$12,$C$51:$C$500,0)),"")</f>
        <v>-33993000000000</v>
      </c>
      <c r="M12" s="2">
        <f>IFERROR(INDEX(M51:M500,MATCH($C$12,$C$51:$C$500,0)),"")</f>
        <v>-2931000000000</v>
      </c>
    </row>
    <row r="13" spans="1:13" ht="15.5" x14ac:dyDescent="0.35">
      <c r="A13" t="s">
        <v>22</v>
      </c>
      <c r="B13" t="s">
        <v>23</v>
      </c>
      <c r="C13" t="s">
        <v>24</v>
      </c>
      <c r="D13" s="2">
        <f>IFERROR(INDEX(D51:D500,MATCH("Total Debt (Quarter)",$C$51:$C$500,0)),"")</f>
        <v>14286000000000</v>
      </c>
      <c r="H13" s="2">
        <f>IFERROR(INDEX(D13:G13,COUNT(D13:G13)),"")</f>
        <v>14286000000000</v>
      </c>
      <c r="I13" s="2">
        <f>IFERROR(INDEX(I51:I500,MATCH($C$13,$C$51:$C$500,0)),"")</f>
        <v>13813000000000</v>
      </c>
      <c r="J13" s="2">
        <f>IFERROR(INDEX(J51:J500,MATCH($C$13,$C$51:$C$500,0)),"")</f>
        <v>24012000000000</v>
      </c>
      <c r="K13" s="2">
        <f>IFERROR(INDEX(K51:K500,MATCH($C$13,$C$51:$C$500,0)),"")</f>
        <v>14809000000000</v>
      </c>
      <c r="L13" s="2">
        <f>IFERROR(INDEX(L51:L500,MATCH($C$13,$C$51:$C$500,0)),"")</f>
        <v>18714000000000</v>
      </c>
      <c r="M13" s="2">
        <f>IFERROR(INDEX(M51:M500,MATCH($C$13,$C$51:$C$500,0)),"")</f>
        <v>18530000000000</v>
      </c>
    </row>
    <row r="14" spans="1:13" ht="15.5" x14ac:dyDescent="0.35">
      <c r="C14" t="s">
        <v>25</v>
      </c>
      <c r="D14" s="2">
        <f>IFERROR(INDEX(D51:D500,MATCH($C$14,$C$51:$C$500,0)),"")</f>
        <v>-6498000</v>
      </c>
      <c r="H14" s="2">
        <f>IFERROR(SUM(D14:G14)*(4/MAX(1,COUNT(D14:G14))),"")</f>
        <v>-25992000</v>
      </c>
      <c r="I14" s="2">
        <f>IFERROR(INDEX(I51:I500,MATCH($C$14,$C$51:$C$500,0)),"")</f>
        <v>-58607000</v>
      </c>
      <c r="J14" s="2">
        <f>IFERROR(INDEX(J51:J500,MATCH($C$14,$C$51:$C$500,0)),"")</f>
        <v>-77808000</v>
      </c>
      <c r="K14" s="2">
        <f>IFERROR(INDEX(K51:K500,MATCH($C$14,$C$51:$C$500,0)),"")</f>
        <v>-74611000</v>
      </c>
      <c r="L14" s="2">
        <f>IFERROR(INDEX(L51:L500,MATCH($C$14,$C$51:$C$500,0)),"")</f>
        <v>-68785000</v>
      </c>
      <c r="M14" s="2">
        <f>IFERROR(INDEX(M51:M500,MATCH($C$14,$C$51:$C$500,0)),"")</f>
        <v>-71919000</v>
      </c>
    </row>
    <row r="15" spans="1:13" ht="15.5" x14ac:dyDescent="0.35">
      <c r="C15" t="s">
        <v>26</v>
      </c>
      <c r="D15" s="2">
        <f>IFERROR(INDEX(D51:D500,MATCH($C$15,$C$51:$C$500,0)),"")</f>
        <v>-54671000</v>
      </c>
      <c r="H15" s="2">
        <f>IFERROR(SUM(D15:G15)*(4/MAX(1,COUNT(D15:G15))),"")</f>
        <v>-218684000</v>
      </c>
      <c r="I15" s="2">
        <f>IFERROR(INDEX(I51:I500,MATCH($C$15,$C$51:$C$500,0)),"")</f>
        <v>-206162000</v>
      </c>
      <c r="J15" s="2">
        <f>IFERROR(INDEX(J51:J500,MATCH($C$15,$C$51:$C$500,0)),"")</f>
        <v>-213340000</v>
      </c>
      <c r="K15" s="2">
        <f>IFERROR(INDEX(K51:K500,MATCH($C$15,$C$51:$C$500,0)),"")</f>
        <v>-274084000</v>
      </c>
      <c r="L15" s="2">
        <f>IFERROR(INDEX(L51:L500,MATCH($C$15,$C$51:$C$500,0)),"")</f>
        <v>-1498502000</v>
      </c>
      <c r="M15" s="2">
        <f>IFERROR(INDEX(M51:M500,MATCH($C$15,$C$51:$C$500,0)),"")</f>
        <v>-396039000</v>
      </c>
    </row>
    <row r="16" spans="1:13" ht="15.5" x14ac:dyDescent="0.35">
      <c r="C16" t="s">
        <v>27</v>
      </c>
      <c r="D16" s="2">
        <f>IFERROR(INDEX(D51:D500,MATCH($C$16,$C$51:$C$500,0)),"")</f>
        <v>208439000</v>
      </c>
      <c r="H16" s="2">
        <f>IFERROR(SUM(D16:G16)*(4/MAX(1,COUNT(D16:G16))),"")</f>
        <v>833756000</v>
      </c>
      <c r="I16" s="2">
        <f>IFERROR(INDEX(I51:I500,MATCH($C$16,$C$51:$C$500,0)),"")</f>
        <v>1055346000</v>
      </c>
      <c r="J16" s="2">
        <f>IFERROR(INDEX(J51:J500,MATCH($C$16,$C$51:$C$500,0)),"")</f>
        <v>1540076000</v>
      </c>
      <c r="K16" s="2">
        <f>IFERROR(INDEX(K51:K500,MATCH($C$16,$C$51:$C$500,0)),"")</f>
        <v>1559975000</v>
      </c>
      <c r="L16" s="2">
        <f>IFERROR(INDEX(L51:L500,MATCH($C$16,$C$51:$C$500,0)),"")</f>
        <v>3848074000</v>
      </c>
      <c r="M16" s="2">
        <f>IFERROR(INDEX(M51:M500,MATCH($C$16,$C$51:$C$500,0)),"")</f>
        <v>1225316000</v>
      </c>
    </row>
    <row r="17" spans="1:13" ht="15.5" x14ac:dyDescent="0.35">
      <c r="A17" t="s">
        <v>28</v>
      </c>
    </row>
    <row r="18" spans="1:13" ht="15.5" x14ac:dyDescent="0.35">
      <c r="A18" t="s">
        <v>29</v>
      </c>
      <c r="D18" t="s">
        <v>1</v>
      </c>
      <c r="H18" t="s">
        <v>2</v>
      </c>
      <c r="I18" t="s">
        <v>30</v>
      </c>
      <c r="J18" t="s">
        <v>31</v>
      </c>
      <c r="K18" t="s">
        <v>32</v>
      </c>
      <c r="L18" t="s">
        <v>33</v>
      </c>
      <c r="M18" t="s">
        <v>34</v>
      </c>
    </row>
    <row r="19" spans="1:13" ht="15.5" x14ac:dyDescent="0.35">
      <c r="A19" t="s">
        <v>35</v>
      </c>
      <c r="C19" t="s">
        <v>36</v>
      </c>
    </row>
    <row r="20" spans="1:13" ht="15.5" x14ac:dyDescent="0.35">
      <c r="A20" t="s">
        <v>37</v>
      </c>
      <c r="C20" t="s">
        <v>38</v>
      </c>
      <c r="D20" s="2">
        <f ca="1">IFERROR(D21*D2,"")</f>
        <v>90364000000000</v>
      </c>
      <c r="H20" s="2">
        <f t="shared" ref="H20:M20" ca="1" si="0">IFERROR(H21*H2,"")</f>
        <v>67383500000000</v>
      </c>
      <c r="I20" s="2">
        <f t="shared" ca="1" si="0"/>
        <v>54335250000000</v>
      </c>
      <c r="J20" s="2">
        <f t="shared" ca="1" si="0"/>
        <v>66020250000000</v>
      </c>
      <c r="K20" s="2" t="str">
        <f t="shared" ca="1" si="0"/>
        <v/>
      </c>
      <c r="L20" s="2" t="str">
        <f t="shared" ca="1" si="0"/>
        <v/>
      </c>
      <c r="M20" s="2" t="str">
        <f t="shared" ca="1" si="0"/>
        <v/>
      </c>
    </row>
    <row r="21" spans="1:13" ht="15.5" x14ac:dyDescent="0.35">
      <c r="C21" t="s">
        <v>10</v>
      </c>
      <c r="D21" s="2">
        <f>IFERROR(INDEX(D51:D500,MATCH($C$7,$C$51:$C$500,0)),"")</f>
        <v>7790000000</v>
      </c>
      <c r="H21" s="2">
        <f>IFERROR(INDEX(D21:G21,COUNT(D21:G21)),"")</f>
        <v>7790000000</v>
      </c>
      <c r="I21" s="2">
        <f>IFERROR(INDEX(I51:I500,MATCH($C$7,$C$51:$C$500,0)),"")</f>
        <v>7790000000</v>
      </c>
      <c r="J21" s="2">
        <f>IFERROR(INDEX(J51:J500,MATCH($C$7,$C$51:$C$500,0)),"")</f>
        <v>7790000000</v>
      </c>
      <c r="K21" s="2">
        <f>IFERROR(INDEX(K51:K500,MATCH($C$7,$C$51:$C$500,0)),"")</f>
        <v>7010000000</v>
      </c>
      <c r="L21" s="2">
        <f>IFERROR(INDEX(L51:L500,MATCH($C$7,$C$51:$C$500,0)),"")</f>
        <v>7010000000</v>
      </c>
      <c r="M21" s="2">
        <f>IFERROR(INDEX(M51:M500,MATCH($C$7,$C$51:$C$500,0)),"")</f>
        <v>7010000000</v>
      </c>
    </row>
    <row r="23" spans="1:13" ht="15.5" x14ac:dyDescent="0.35">
      <c r="B23" t="s">
        <v>39</v>
      </c>
      <c r="C23" t="s">
        <v>40</v>
      </c>
      <c r="D23" s="3">
        <f>IFERROR(D5/D6*100,"")</f>
        <v>3.72682962951209</v>
      </c>
      <c r="H23" s="3">
        <f t="shared" ref="H23:M23" si="1">IFERROR(H5/H6*100,"")</f>
        <v>14.90731851804836</v>
      </c>
      <c r="I23" s="3">
        <f t="shared" si="1"/>
        <v>15.94030953291678</v>
      </c>
      <c r="J23" s="3">
        <f t="shared" si="1"/>
        <v>35.430544893654847</v>
      </c>
      <c r="K23" s="3">
        <f t="shared" si="1"/>
        <v>24.151397442919933</v>
      </c>
      <c r="L23" s="3">
        <f t="shared" si="1"/>
        <v>46.381761654721068</v>
      </c>
      <c r="M23" s="3">
        <f t="shared" si="1"/>
        <v>22.050192570505654</v>
      </c>
    </row>
    <row r="24" spans="1:13" ht="15.5" x14ac:dyDescent="0.35">
      <c r="C24" t="s">
        <v>41</v>
      </c>
      <c r="D24" s="4">
        <f>IFERROR(_xlfn.RRI(5,I23,D23),"")</f>
        <v>-0.25222910420638833</v>
      </c>
      <c r="H24" s="4">
        <f t="shared" ref="H24:M24" si="2">IFERROR(_xlfn.RRI(5,M23,H23),"")</f>
        <v>-7.5307300504721342E-2</v>
      </c>
      <c r="I24" s="4" t="str">
        <f t="shared" si="2"/>
        <v/>
      </c>
      <c r="J24" s="4" t="str">
        <f t="shared" si="2"/>
        <v/>
      </c>
      <c r="K24" s="4" t="str">
        <f t="shared" si="2"/>
        <v/>
      </c>
      <c r="L24" s="4" t="str">
        <f t="shared" si="2"/>
        <v/>
      </c>
      <c r="M24" s="4" t="str">
        <f t="shared" si="2"/>
        <v/>
      </c>
    </row>
    <row r="25" spans="1:13" ht="15.5" x14ac:dyDescent="0.35">
      <c r="A25" t="s">
        <v>42</v>
      </c>
      <c r="C25" t="s">
        <v>43</v>
      </c>
      <c r="D25" s="3">
        <f>IFERROR(INDEX(D51:D500,MATCH($A$25,$C$51:$C$500,0)),"")</f>
        <v>309.67</v>
      </c>
      <c r="H25" s="3">
        <f>IFERROR(INDEX(D25:G25,COUNT(D25:G25)),"")</f>
        <v>309.67</v>
      </c>
      <c r="I25" s="3">
        <f>IFERROR(INDEX(I51:I500,MATCH($C$25,$C$51:$C$500,0)),"")</f>
        <v>1608.59</v>
      </c>
      <c r="J25" s="3">
        <f>IFERROR(INDEX(J51:J500,MATCH($C$25,$C$51:$C$500,0)),"")</f>
        <v>2464.5300000000002</v>
      </c>
      <c r="K25" s="3">
        <f>IFERROR(INDEX(K51:K500,MATCH($C$25,$C$51:$C$500,0)),"")</f>
        <v>2489.6799999999998</v>
      </c>
      <c r="L25" s="3">
        <f>IFERROR(INDEX(L51:L500,MATCH($C$25,$C$51:$C$500,0)),"")</f>
        <v>4382.72</v>
      </c>
      <c r="M25" s="3">
        <f>IFERROR(INDEX(M51:M500,MATCH($C$25,$C$51:$C$500,0)),"")</f>
        <v>1494.71</v>
      </c>
    </row>
    <row r="26" spans="1:13" ht="15.5" x14ac:dyDescent="0.35">
      <c r="C26" t="s">
        <v>44</v>
      </c>
      <c r="D26" s="4">
        <f>IFERROR(_xlfn.RRI(5,I25,D25),"")</f>
        <v>-0.28073197547876205</v>
      </c>
      <c r="H26" s="4">
        <f t="shared" ref="H26:M26" si="3">IFERROR(_xlfn.RRI(5,M25,H25),"")</f>
        <v>-0.27009147035364289</v>
      </c>
      <c r="I26" s="4" t="str">
        <f t="shared" si="3"/>
        <v/>
      </c>
      <c r="J26" s="4" t="str">
        <f t="shared" si="3"/>
        <v/>
      </c>
      <c r="K26" s="4" t="str">
        <f t="shared" si="3"/>
        <v/>
      </c>
      <c r="L26" s="4" t="str">
        <f t="shared" si="3"/>
        <v/>
      </c>
      <c r="M26" s="4" t="str">
        <f t="shared" si="3"/>
        <v/>
      </c>
    </row>
    <row r="27" spans="1:13" ht="15.5" x14ac:dyDescent="0.35">
      <c r="C27" t="s">
        <v>45</v>
      </c>
      <c r="D27" s="3">
        <f>IFERROR(D4/D21,"")</f>
        <v>0.1340426187419769</v>
      </c>
      <c r="H27" s="3">
        <f t="shared" ref="H27:M27" si="4">IFERROR(H4/H21,"")</f>
        <v>0.5361704749679076</v>
      </c>
      <c r="I27" s="3">
        <f t="shared" si="4"/>
        <v>0.63032901155327348</v>
      </c>
      <c r="J27" s="3">
        <f t="shared" si="4"/>
        <v>0.68287317073170728</v>
      </c>
      <c r="K27" s="3">
        <f t="shared" si="4"/>
        <v>0.84385278174037093</v>
      </c>
      <c r="L27" s="3">
        <f t="shared" si="4"/>
        <v>1.1021302425106989</v>
      </c>
      <c r="M27" s="3">
        <f t="shared" si="4"/>
        <v>0.55094707560627676</v>
      </c>
    </row>
    <row r="28" spans="1:13" ht="15.5" x14ac:dyDescent="0.35">
      <c r="C28" t="s">
        <v>46</v>
      </c>
      <c r="D28" s="4">
        <f>IFERROR(_xlfn.RRI(5,I27,D27),"")</f>
        <v>-0.26627195123078962</v>
      </c>
      <c r="H28" s="4">
        <f t="shared" ref="H28:M28" si="5">IFERROR(_xlfn.RRI(5,M27,H27),"")</f>
        <v>-5.4225629779183215E-3</v>
      </c>
      <c r="I28" s="4" t="str">
        <f t="shared" si="5"/>
        <v/>
      </c>
      <c r="J28" s="4" t="str">
        <f t="shared" si="5"/>
        <v/>
      </c>
      <c r="K28" s="4" t="str">
        <f t="shared" si="5"/>
        <v/>
      </c>
      <c r="L28" s="4" t="str">
        <f t="shared" si="5"/>
        <v/>
      </c>
      <c r="M28" s="4" t="str">
        <f t="shared" si="5"/>
        <v/>
      </c>
    </row>
    <row r="32" spans="1:13" ht="15.5" x14ac:dyDescent="0.35">
      <c r="A32" t="s">
        <v>47</v>
      </c>
      <c r="B32" t="s">
        <v>48</v>
      </c>
      <c r="C32" t="s">
        <v>49</v>
      </c>
      <c r="D32" s="3">
        <f>IFERROR(INDEX(D51:D500,MATCH($A$32,$C$51:$C$500,0)),"")</f>
        <v>7584.86</v>
      </c>
      <c r="H32" s="3">
        <f>IFERROR(INDEX(D32:G32,COUNT(D32:G32)),"")</f>
        <v>7584.86</v>
      </c>
      <c r="I32" s="3">
        <f>IFERROR(INDEX(I51:I500,MATCH($C$32,$C$51:$C$500,0)),"")</f>
        <v>7157.79</v>
      </c>
      <c r="J32" s="3">
        <f>IFERROR(INDEX(J51:J500,MATCH($C$32,$C$51:$C$500,0)),"")</f>
        <v>6222.39</v>
      </c>
      <c r="K32" s="3">
        <f>IFERROR(INDEX(K51:K500,MATCH($C$32,$C$51:$C$500,0)),"")</f>
        <v>9618.25</v>
      </c>
      <c r="L32" s="3">
        <f>IFERROR(INDEX(L51:L500,MATCH($C$32,$C$51:$C$500,0)),"")</f>
        <v>9156.73</v>
      </c>
      <c r="M32" s="3">
        <f>IFERROR(INDEX(M51:M500,MATCH($C$32,$C$51:$C$500,0)),"")</f>
        <v>6773.54</v>
      </c>
    </row>
    <row r="33" spans="1:13" ht="15.5" x14ac:dyDescent="0.35">
      <c r="A33" t="s">
        <v>50</v>
      </c>
      <c r="B33" t="s">
        <v>51</v>
      </c>
      <c r="C33" t="s">
        <v>52</v>
      </c>
      <c r="D33" s="3">
        <f>IFERROR(INDEX(D51:D500,MATCH($A$33,$C$51:$C$500,0)),"")</f>
        <v>1.49</v>
      </c>
      <c r="H33" s="3">
        <f>IFERROR(INDEX(D33:G33,COUNT(D33:G33)),"")</f>
        <v>1.49</v>
      </c>
      <c r="I33" s="3">
        <f>IFERROR(INDEX(I51:I500,MATCH($C$33,$C$51:$C$500,0)),"")</f>
        <v>0.97</v>
      </c>
      <c r="J33" s="3">
        <f>IFERROR(INDEX(J51:J500,MATCH($C$33,$C$51:$C$500,0)),"")</f>
        <v>1.36</v>
      </c>
      <c r="K33" s="3">
        <f>IFERROR(INDEX(K51:K500,MATCH($C$33,$C$51:$C$500,0)),"")</f>
        <v>0</v>
      </c>
      <c r="L33" s="3">
        <f>IFERROR(INDEX(L51:L500,MATCH($C$33,$C$51:$C$500,0)),"")</f>
        <v>0</v>
      </c>
      <c r="M33" s="3">
        <f>IFERROR(INDEX(M51:M500,MATCH($C$33,$C$51:$C$500,0)),"")</f>
        <v>0</v>
      </c>
    </row>
    <row r="34" spans="1:13" ht="15.5" x14ac:dyDescent="0.35">
      <c r="A34" t="s">
        <v>53</v>
      </c>
      <c r="B34" t="s">
        <v>54</v>
      </c>
      <c r="C34" t="s">
        <v>55</v>
      </c>
      <c r="D34" s="3">
        <f>IFERROR(INDEX(D51:D500,MATCH($A$34,$C$51:$C$500,0)),"")</f>
        <v>36.409999999999997</v>
      </c>
      <c r="H34" s="3">
        <f>IFERROR(INDEX(D34:G34,COUNT(D34:G34)),"")</f>
        <v>36.409999999999997</v>
      </c>
      <c r="I34" s="3">
        <f>IFERROR(INDEX(I51:I500,MATCH($C$34,$C$51:$C$500,0)),"")</f>
        <v>4.34</v>
      </c>
      <c r="J34" s="3">
        <f>IFERROR(INDEX(J51:J500,MATCH($C$34,$C$51:$C$500,0)),"")</f>
        <v>3.44</v>
      </c>
      <c r="K34" s="3">
        <f>IFERROR(INDEX(K51:K500,MATCH($C$34,$C$51:$C$500,0)),"")</f>
        <v>0</v>
      </c>
      <c r="L34" s="3">
        <f>IFERROR(INDEX(L51:L500,MATCH($C$34,$C$51:$C$500,0)),"")</f>
        <v>0</v>
      </c>
      <c r="M34" s="3">
        <f>IFERROR(INDEX(M51:M500,MATCH($C$34,$C$51:$C$500,0)),"")</f>
        <v>0</v>
      </c>
    </row>
    <row r="35" spans="1:13" ht="15.5" x14ac:dyDescent="0.35">
      <c r="A35" t="s">
        <v>56</v>
      </c>
      <c r="B35" t="s">
        <v>57</v>
      </c>
      <c r="C35" t="s">
        <v>58</v>
      </c>
      <c r="D35" s="3">
        <f>IFERROR(INDEX(D51:D500,MATCH($A$35,$C$51:$C$500,0)),"")</f>
        <v>4.99</v>
      </c>
      <c r="H35" s="3">
        <f>IFERROR(INDEX(D35:G35,COUNT(D35:G35)),"")</f>
        <v>4.99</v>
      </c>
      <c r="I35" s="3">
        <f>IFERROR(INDEX(I51:I500,MATCH($C$35,$C$51:$C$500,0)),"")</f>
        <v>0.67</v>
      </c>
      <c r="J35" s="3">
        <f>IFERROR(INDEX(J51:J500,MATCH($C$35,$C$51:$C$500,0)),"")</f>
        <v>0.78</v>
      </c>
      <c r="K35" s="3">
        <f>IFERROR(INDEX(K51:K500,MATCH($C$35,$C$51:$C$500,0)),"")</f>
        <v>0</v>
      </c>
      <c r="L35" s="3">
        <f>IFERROR(INDEX(L51:L500,MATCH($C$35,$C$51:$C$500,0)),"")</f>
        <v>0</v>
      </c>
      <c r="M35" s="3">
        <f>IFERROR(INDEX(M51:M500,MATCH($C$35,$C$51:$C$500,0)),"")</f>
        <v>0</v>
      </c>
    </row>
    <row r="36" spans="1:13" ht="15.5" x14ac:dyDescent="0.35">
      <c r="B36" t="s">
        <v>59</v>
      </c>
      <c r="C36" t="s">
        <v>60</v>
      </c>
      <c r="D36" s="4">
        <f>IFERROR(INDEX(D51:D500,MATCH($C$36,$C$51:$C$500,0)),"")</f>
        <v>0</v>
      </c>
      <c r="H36" s="4">
        <f t="shared" ref="H36:M36" si="6">IFERROR(INDEX(H51:H500,MATCH($C$36,$C$51:$C$500,0)),"")</f>
        <v>0.80840000000000001</v>
      </c>
      <c r="I36" s="4">
        <f t="shared" si="6"/>
        <v>0.28800000000000003</v>
      </c>
      <c r="J36" s="4">
        <f t="shared" si="6"/>
        <v>0</v>
      </c>
      <c r="K36" s="4">
        <f t="shared" si="6"/>
        <v>0</v>
      </c>
      <c r="L36" s="4">
        <f t="shared" si="6"/>
        <v>0</v>
      </c>
      <c r="M36" s="4">
        <f t="shared" si="6"/>
        <v>0</v>
      </c>
    </row>
    <row r="37" spans="1:13" ht="15.5" x14ac:dyDescent="0.35">
      <c r="B37" t="s">
        <v>61</v>
      </c>
      <c r="C37" t="s">
        <v>62</v>
      </c>
      <c r="D37" s="3">
        <f>IFERROR(INDEX(D51:D500,MATCH($C$37,$C$51:$C$500,0)),"")</f>
        <v>0</v>
      </c>
      <c r="H37" s="3">
        <f t="shared" ref="H37:M37" si="7">IFERROR(INDEX(H51:H500,MATCH($C$37,$C$51:$C$500,0)),"")</f>
        <v>1001.4</v>
      </c>
      <c r="I37" s="3">
        <f t="shared" si="7"/>
        <v>1001.4</v>
      </c>
      <c r="J37" s="3">
        <f t="shared" si="7"/>
        <v>0</v>
      </c>
      <c r="K37" s="3">
        <f t="shared" si="7"/>
        <v>0</v>
      </c>
      <c r="L37" s="3">
        <f t="shared" si="7"/>
        <v>0</v>
      </c>
      <c r="M37" s="3">
        <f t="shared" si="7"/>
        <v>0</v>
      </c>
    </row>
    <row r="50" spans="2:13" ht="15.5" x14ac:dyDescent="0.35">
      <c r="D50" t="s">
        <v>63</v>
      </c>
      <c r="E50" t="s">
        <v>64</v>
      </c>
      <c r="F50" t="s">
        <v>65</v>
      </c>
      <c r="G50" t="s">
        <v>66</v>
      </c>
      <c r="H50" t="s">
        <v>67</v>
      </c>
      <c r="I50" t="s">
        <v>30</v>
      </c>
      <c r="J50" t="s">
        <v>31</v>
      </c>
      <c r="K50" t="s">
        <v>32</v>
      </c>
      <c r="L50" t="s">
        <v>33</v>
      </c>
      <c r="M50" t="s">
        <v>34</v>
      </c>
    </row>
    <row r="51" spans="2:13" ht="15.5" x14ac:dyDescent="0.35">
      <c r="B51" t="s">
        <v>68</v>
      </c>
      <c r="C51" t="s">
        <v>4</v>
      </c>
      <c r="D51" s="5">
        <v>1044192000</v>
      </c>
      <c r="E51" s="5">
        <v>1301135000</v>
      </c>
      <c r="F51" s="5">
        <v>1209573000</v>
      </c>
      <c r="G51" s="5">
        <v>1235118000</v>
      </c>
      <c r="I51" s="5">
        <v>4910263000</v>
      </c>
      <c r="J51" s="5">
        <v>5319582000</v>
      </c>
      <c r="K51" s="5">
        <v>5915408000</v>
      </c>
      <c r="L51" s="5">
        <v>7725933000</v>
      </c>
      <c r="M51" s="5">
        <v>3862139000</v>
      </c>
    </row>
    <row r="52" spans="2:13" ht="15.5" x14ac:dyDescent="0.35">
      <c r="C52" t="s">
        <v>69</v>
      </c>
      <c r="D52" s="5">
        <v>-786639000</v>
      </c>
      <c r="E52" s="5">
        <v>-982701000</v>
      </c>
      <c r="F52" s="5">
        <v>-961835000</v>
      </c>
      <c r="G52" s="5">
        <v>-887003000</v>
      </c>
      <c r="I52" s="5">
        <v>-3648568000</v>
      </c>
      <c r="J52" s="5">
        <v>-3853631000</v>
      </c>
      <c r="K52" s="5">
        <v>-4186532000</v>
      </c>
      <c r="L52" s="5">
        <v>-3776856000</v>
      </c>
      <c r="M52" s="5">
        <v>-2369331000</v>
      </c>
    </row>
    <row r="53" spans="2:13" ht="15.5" x14ac:dyDescent="0.35">
      <c r="C53" t="s">
        <v>70</v>
      </c>
      <c r="D53" s="5">
        <v>257553000</v>
      </c>
      <c r="E53" s="5">
        <v>318434000</v>
      </c>
      <c r="F53" s="5">
        <v>247738000</v>
      </c>
      <c r="G53" s="5">
        <v>348115000</v>
      </c>
      <c r="I53" s="5">
        <v>1261695000</v>
      </c>
      <c r="J53" s="5">
        <v>1465951000</v>
      </c>
      <c r="K53" s="5">
        <v>1728876000</v>
      </c>
      <c r="L53" s="5">
        <v>3949077000</v>
      </c>
      <c r="M53" s="5">
        <v>1492808000</v>
      </c>
    </row>
    <row r="54" spans="2:13" ht="15.5" x14ac:dyDescent="0.35">
      <c r="C54" t="s">
        <v>71</v>
      </c>
      <c r="D54" s="5">
        <v>-45897000</v>
      </c>
      <c r="E54" s="5">
        <v>-86307000</v>
      </c>
      <c r="F54" s="5">
        <v>-46204000</v>
      </c>
      <c r="G54" s="5">
        <v>-27860000</v>
      </c>
      <c r="I54" s="5">
        <v>-219015000</v>
      </c>
      <c r="J54" s="5">
        <v>15266000</v>
      </c>
      <c r="K54" s="5">
        <v>-337517000</v>
      </c>
      <c r="L54" s="5">
        <v>-323172000</v>
      </c>
      <c r="M54" s="5">
        <v>-223076000</v>
      </c>
    </row>
    <row r="55" spans="2:13" ht="15.5" x14ac:dyDescent="0.35">
      <c r="C55" t="s">
        <v>72</v>
      </c>
      <c r="D55" s="5">
        <v>-52052000</v>
      </c>
      <c r="E55" s="5">
        <v>-75272000</v>
      </c>
      <c r="F55" s="5">
        <v>-57574000</v>
      </c>
      <c r="G55" s="5">
        <v>-56145000</v>
      </c>
      <c r="I55" s="5">
        <v>-247086000</v>
      </c>
      <c r="J55" s="5">
        <v>-315504000</v>
      </c>
      <c r="K55" s="5">
        <v>-311777000</v>
      </c>
      <c r="L55" s="5">
        <v>-290352000</v>
      </c>
      <c r="M55" s="5">
        <v>-170862000</v>
      </c>
    </row>
    <row r="56" spans="2:13" ht="15.5" x14ac:dyDescent="0.35">
      <c r="C56" t="s">
        <v>73</v>
      </c>
      <c r="D56" s="5">
        <v>10573000</v>
      </c>
      <c r="E56" s="5">
        <v>15246000</v>
      </c>
      <c r="F56" s="5">
        <v>7343000</v>
      </c>
      <c r="G56" s="5">
        <v>24732000</v>
      </c>
      <c r="I56" s="5">
        <v>71387000</v>
      </c>
      <c r="J56" s="5">
        <v>114525000</v>
      </c>
      <c r="K56" s="5">
        <v>143368000</v>
      </c>
      <c r="L56" s="5">
        <v>284116000</v>
      </c>
      <c r="M56" s="5">
        <v>99468000</v>
      </c>
    </row>
    <row r="57" spans="2:13" ht="15.5" x14ac:dyDescent="0.35">
      <c r="C57" t="s">
        <v>74</v>
      </c>
      <c r="D57" s="5">
        <v>211656000</v>
      </c>
      <c r="E57" s="5">
        <v>232127000</v>
      </c>
      <c r="F57" s="5">
        <v>201534000</v>
      </c>
      <c r="G57" s="5">
        <v>320255000</v>
      </c>
      <c r="I57" s="5">
        <v>1042680000</v>
      </c>
      <c r="J57" s="5">
        <v>1481217000</v>
      </c>
      <c r="K57" s="5">
        <v>1391359000</v>
      </c>
      <c r="L57" s="5">
        <v>3625905000</v>
      </c>
      <c r="M57" s="5">
        <v>1269732000</v>
      </c>
    </row>
    <row r="58" spans="2:13" ht="15.5" x14ac:dyDescent="0.35">
      <c r="C58" t="s">
        <v>75</v>
      </c>
      <c r="D58" s="5">
        <v>-3217000</v>
      </c>
      <c r="E58" s="5">
        <v>10662000</v>
      </c>
      <c r="F58" s="5">
        <v>15431000</v>
      </c>
      <c r="G58" s="5">
        <v>-4962000</v>
      </c>
      <c r="I58" s="5">
        <v>12666000</v>
      </c>
      <c r="J58" s="5">
        <v>58859000</v>
      </c>
      <c r="K58" s="5">
        <v>168616000</v>
      </c>
      <c r="L58" s="5">
        <v>222169000</v>
      </c>
      <c r="M58" s="5">
        <v>-44416000</v>
      </c>
    </row>
    <row r="59" spans="2:13" ht="15.5" x14ac:dyDescent="0.35">
      <c r="C59" t="s">
        <v>25</v>
      </c>
      <c r="D59" s="5">
        <v>-6498000</v>
      </c>
      <c r="E59" s="5">
        <v>-13432000</v>
      </c>
      <c r="F59" s="5">
        <v>-12178000</v>
      </c>
      <c r="G59" s="5">
        <v>-14640000</v>
      </c>
      <c r="I59" s="5">
        <v>-58607000</v>
      </c>
      <c r="J59" s="5">
        <v>-77808000</v>
      </c>
      <c r="K59" s="5">
        <v>-74611000</v>
      </c>
      <c r="L59" s="5">
        <v>-68785000</v>
      </c>
      <c r="M59" s="5">
        <v>-71919000</v>
      </c>
    </row>
    <row r="60" spans="2:13" ht="15.5" x14ac:dyDescent="0.35">
      <c r="C60" t="s">
        <v>76</v>
      </c>
      <c r="D60" s="5">
        <v>8330000</v>
      </c>
      <c r="E60" s="5">
        <v>11062000</v>
      </c>
      <c r="F60" s="5">
        <v>14094000</v>
      </c>
      <c r="G60" s="5">
        <v>14590000</v>
      </c>
      <c r="I60" s="5">
        <v>54063000</v>
      </c>
      <c r="J60" s="5">
        <v>85553000</v>
      </c>
      <c r="K60" s="5">
        <v>111322000</v>
      </c>
      <c r="L60" s="5">
        <v>55980000</v>
      </c>
      <c r="M60" s="5">
        <v>41596000</v>
      </c>
    </row>
    <row r="61" spans="2:13" ht="15.5" x14ac:dyDescent="0.35">
      <c r="C61" t="s">
        <v>77</v>
      </c>
      <c r="D61" s="5">
        <v>-5049000</v>
      </c>
      <c r="E61" s="5">
        <v>13032000</v>
      </c>
      <c r="F61" s="5">
        <v>13515000</v>
      </c>
      <c r="G61" s="5">
        <v>-4912000</v>
      </c>
      <c r="I61" s="5">
        <v>17210000</v>
      </c>
      <c r="J61" s="5">
        <v>51114000</v>
      </c>
      <c r="K61" s="5">
        <v>131905000</v>
      </c>
      <c r="L61" s="5">
        <v>234974000</v>
      </c>
      <c r="M61" s="5">
        <v>-14093000</v>
      </c>
    </row>
    <row r="62" spans="2:13" ht="15.5" x14ac:dyDescent="0.35">
      <c r="C62" t="s">
        <v>78</v>
      </c>
      <c r="D62" s="5">
        <v>-3217000</v>
      </c>
      <c r="E62" s="5">
        <v>10662000</v>
      </c>
      <c r="F62" s="5">
        <v>15431000</v>
      </c>
      <c r="G62" s="5">
        <v>-4962000</v>
      </c>
      <c r="I62" s="5">
        <v>12666000</v>
      </c>
      <c r="J62" s="5">
        <v>58859000</v>
      </c>
      <c r="K62" s="5">
        <v>168616000</v>
      </c>
      <c r="L62" s="5">
        <v>222169000</v>
      </c>
      <c r="M62" s="5">
        <v>-44416000</v>
      </c>
    </row>
    <row r="63" spans="2:13" ht="15.5" x14ac:dyDescent="0.35">
      <c r="C63" t="s">
        <v>27</v>
      </c>
      <c r="D63" s="5">
        <v>208439000</v>
      </c>
      <c r="E63" s="5">
        <v>242789000</v>
      </c>
      <c r="F63" s="5">
        <v>216965000</v>
      </c>
      <c r="G63" s="5">
        <v>315293000</v>
      </c>
      <c r="I63" s="5">
        <v>1055346000</v>
      </c>
      <c r="J63" s="5">
        <v>1540076000</v>
      </c>
      <c r="K63" s="5">
        <v>1559975000</v>
      </c>
      <c r="L63" s="5">
        <v>3848074000</v>
      </c>
      <c r="M63" s="5">
        <v>1225316000</v>
      </c>
    </row>
    <row r="64" spans="2:13" ht="15.5" x14ac:dyDescent="0.35">
      <c r="C64" t="s">
        <v>26</v>
      </c>
      <c r="D64" s="5">
        <v>-54671000</v>
      </c>
      <c r="E64" s="5">
        <v>-48474000</v>
      </c>
      <c r="F64" s="5">
        <v>-43376000</v>
      </c>
      <c r="G64" s="5">
        <v>-56901000</v>
      </c>
      <c r="I64" s="5">
        <v>-206162000</v>
      </c>
      <c r="J64" s="5">
        <v>-213340000</v>
      </c>
      <c r="K64" s="5">
        <v>-274084000</v>
      </c>
      <c r="L64" s="5">
        <v>-1498502000</v>
      </c>
      <c r="M64" s="5">
        <v>-396039000</v>
      </c>
    </row>
    <row r="65" spans="2:13" ht="15.5" x14ac:dyDescent="0.35">
      <c r="C65" t="s">
        <v>79</v>
      </c>
      <c r="D65" s="5">
        <v>153768000</v>
      </c>
      <c r="E65" s="5">
        <v>194315000</v>
      </c>
      <c r="F65" s="5">
        <v>173589000</v>
      </c>
      <c r="G65" s="5">
        <v>258392000</v>
      </c>
      <c r="I65" s="5">
        <v>849184000</v>
      </c>
      <c r="J65" s="5">
        <v>1326736000</v>
      </c>
      <c r="K65" s="5">
        <v>1285891000</v>
      </c>
      <c r="L65" s="5">
        <v>2349572000</v>
      </c>
      <c r="M65" s="5">
        <v>829277000</v>
      </c>
    </row>
    <row r="66" spans="2:13" ht="15.5" x14ac:dyDescent="0.35">
      <c r="C66" t="s">
        <v>80</v>
      </c>
      <c r="D66" s="5">
        <v>-2275000</v>
      </c>
      <c r="E66" s="5">
        <v>-63037000</v>
      </c>
      <c r="F66" s="5">
        <v>-77779000</v>
      </c>
      <c r="G66" s="5">
        <v>-18685000</v>
      </c>
      <c r="I66" s="5">
        <v>-196035000</v>
      </c>
      <c r="J66" s="5">
        <v>-20511000</v>
      </c>
      <c r="K66" s="5">
        <v>14441000</v>
      </c>
      <c r="L66" s="5">
        <v>25534000</v>
      </c>
      <c r="M66" s="5">
        <v>68860000</v>
      </c>
    </row>
    <row r="67" spans="2:13" ht="15.5" x14ac:dyDescent="0.35">
      <c r="C67" t="s">
        <v>81</v>
      </c>
      <c r="D67" s="5">
        <v>151493000</v>
      </c>
      <c r="E67" s="5">
        <v>131278000</v>
      </c>
      <c r="F67" s="5">
        <v>95810000</v>
      </c>
      <c r="G67" s="5">
        <v>239707000</v>
      </c>
      <c r="I67" s="5">
        <v>653149000</v>
      </c>
      <c r="J67" s="5">
        <v>1306225000</v>
      </c>
      <c r="K67" s="5">
        <v>1300332000</v>
      </c>
      <c r="L67" s="5">
        <v>2375106000</v>
      </c>
      <c r="M67" s="5">
        <v>898137000</v>
      </c>
    </row>
    <row r="68" spans="2:13" ht="15.5" x14ac:dyDescent="0.35">
      <c r="C68" t="s">
        <v>82</v>
      </c>
      <c r="D68" s="5">
        <v>153768000</v>
      </c>
      <c r="E68" s="5">
        <v>194315000</v>
      </c>
      <c r="F68" s="5">
        <v>173589000</v>
      </c>
      <c r="G68" s="5">
        <v>258392000</v>
      </c>
      <c r="I68" s="5">
        <v>849184000</v>
      </c>
      <c r="J68" s="5">
        <v>1326736000</v>
      </c>
      <c r="K68" s="5">
        <v>1285891000</v>
      </c>
      <c r="L68" s="5">
        <v>2349572000</v>
      </c>
      <c r="M68" s="5">
        <v>829277000</v>
      </c>
    </row>
    <row r="69" spans="2:13" ht="15.5" x14ac:dyDescent="0.35">
      <c r="C69" t="s">
        <v>6</v>
      </c>
      <c r="D69" s="5">
        <v>140920000</v>
      </c>
      <c r="E69" s="5">
        <v>116032000</v>
      </c>
      <c r="F69" s="5">
        <v>88467000</v>
      </c>
      <c r="G69" s="5">
        <v>214975000</v>
      </c>
      <c r="I69" s="5">
        <v>581762000</v>
      </c>
      <c r="J69" s="5">
        <v>1191700000</v>
      </c>
      <c r="K69" s="5">
        <v>1156964000</v>
      </c>
      <c r="L69" s="5">
        <v>2090990000</v>
      </c>
      <c r="M69" s="5">
        <v>798669000</v>
      </c>
    </row>
    <row r="70" spans="2:13" ht="15.5" x14ac:dyDescent="0.35">
      <c r="C70" t="s">
        <v>83</v>
      </c>
      <c r="D70" s="5">
        <v>153768000</v>
      </c>
      <c r="E70" s="5">
        <v>194315000</v>
      </c>
      <c r="F70" s="5">
        <v>173589000</v>
      </c>
      <c r="G70" s="5">
        <v>258392000</v>
      </c>
      <c r="I70" s="5">
        <v>849184000</v>
      </c>
      <c r="J70" s="5">
        <v>1326736000</v>
      </c>
      <c r="K70" s="5">
        <v>1285891000</v>
      </c>
      <c r="L70" s="5">
        <v>2349572000</v>
      </c>
      <c r="M70" s="5">
        <v>829277000</v>
      </c>
    </row>
    <row r="71" spans="2:13" ht="15.5" x14ac:dyDescent="0.35">
      <c r="C71" t="s">
        <v>84</v>
      </c>
      <c r="D71" s="5">
        <v>151493000</v>
      </c>
      <c r="E71" s="5">
        <v>131278000</v>
      </c>
      <c r="F71" s="5">
        <v>95810000</v>
      </c>
      <c r="G71" s="5">
        <v>239707000</v>
      </c>
      <c r="I71" s="5">
        <v>653149000</v>
      </c>
      <c r="J71" s="5">
        <v>1306225000</v>
      </c>
      <c r="K71" s="5">
        <v>1300332000</v>
      </c>
      <c r="L71" s="5">
        <v>2375106000</v>
      </c>
      <c r="M71" s="5">
        <v>898137000</v>
      </c>
    </row>
    <row r="72" spans="2:13" ht="15.5" x14ac:dyDescent="0.35">
      <c r="C72" t="s">
        <v>85</v>
      </c>
      <c r="D72" s="5">
        <v>151493000</v>
      </c>
      <c r="E72" s="5">
        <v>131278000</v>
      </c>
      <c r="F72" s="5">
        <v>95810000</v>
      </c>
      <c r="G72" s="5">
        <v>239707000</v>
      </c>
      <c r="I72" s="5">
        <v>653149000</v>
      </c>
      <c r="J72" s="5">
        <v>1306225000</v>
      </c>
      <c r="K72" s="5">
        <v>1300332000</v>
      </c>
      <c r="L72" s="5">
        <v>2375106000</v>
      </c>
      <c r="M72" s="5">
        <v>898137000</v>
      </c>
    </row>
    <row r="74" spans="2:13" ht="15.5" x14ac:dyDescent="0.35">
      <c r="B74" t="s">
        <v>86</v>
      </c>
      <c r="C74" t="s">
        <v>87</v>
      </c>
    </row>
    <row r="75" spans="2:13" ht="15.5" x14ac:dyDescent="0.35">
      <c r="C75" t="s">
        <v>88</v>
      </c>
    </row>
    <row r="76" spans="2:13" ht="15.5" x14ac:dyDescent="0.35">
      <c r="C76" t="s">
        <v>18</v>
      </c>
      <c r="D76" s="5">
        <v>914431000</v>
      </c>
      <c r="E76" s="5">
        <v>925445000</v>
      </c>
      <c r="F76" s="5">
        <v>1417030000</v>
      </c>
      <c r="G76" s="5">
        <v>1433944000</v>
      </c>
      <c r="I76" s="5">
        <v>925445000</v>
      </c>
      <c r="J76" s="5">
        <v>1518688000</v>
      </c>
      <c r="K76" s="5">
        <v>2534480000</v>
      </c>
      <c r="L76" s="5">
        <v>3380339000</v>
      </c>
      <c r="M76" s="5">
        <v>1503070000</v>
      </c>
    </row>
    <row r="77" spans="2:13" ht="15.5" x14ac:dyDescent="0.35">
      <c r="C77" t="s">
        <v>89</v>
      </c>
      <c r="D77" s="5">
        <v>5105000</v>
      </c>
      <c r="E77" s="5">
        <v>5121000</v>
      </c>
      <c r="I77" s="5">
        <v>5121000</v>
      </c>
    </row>
    <row r="78" spans="2:13" ht="15.5" x14ac:dyDescent="0.35">
      <c r="C78" t="s">
        <v>90</v>
      </c>
      <c r="D78" s="5">
        <v>480455000</v>
      </c>
      <c r="E78" s="5">
        <v>502067000</v>
      </c>
      <c r="F78" s="5">
        <v>510340000</v>
      </c>
      <c r="G78" s="5">
        <v>474165000</v>
      </c>
      <c r="I78" s="5">
        <v>502067000</v>
      </c>
      <c r="J78" s="5">
        <v>401508000</v>
      </c>
      <c r="K78" s="5">
        <v>416274000</v>
      </c>
      <c r="L78" s="5">
        <v>609013000</v>
      </c>
      <c r="M78" s="5">
        <v>413991000</v>
      </c>
    </row>
    <row r="79" spans="2:13" ht="15.5" x14ac:dyDescent="0.35">
      <c r="C79" t="s">
        <v>91</v>
      </c>
      <c r="D79" s="5">
        <v>236829000</v>
      </c>
      <c r="E79" s="5">
        <v>320815000</v>
      </c>
      <c r="F79" s="5">
        <v>344748000</v>
      </c>
      <c r="G79" s="5">
        <v>305337000</v>
      </c>
      <c r="I79" s="5">
        <v>320815000</v>
      </c>
      <c r="J79" s="5">
        <v>295542000</v>
      </c>
      <c r="K79" s="5">
        <v>201074000</v>
      </c>
      <c r="L79" s="5">
        <v>139371000</v>
      </c>
      <c r="M79" s="5">
        <v>127854000</v>
      </c>
    </row>
    <row r="80" spans="2:13" ht="15.5" x14ac:dyDescent="0.35">
      <c r="C80" t="s">
        <v>92</v>
      </c>
      <c r="D80" s="5">
        <v>191139000</v>
      </c>
      <c r="E80" s="5">
        <v>202606000</v>
      </c>
      <c r="F80" s="5">
        <v>272255000</v>
      </c>
      <c r="G80" s="5">
        <v>242618000</v>
      </c>
      <c r="I80" s="5">
        <v>202606000</v>
      </c>
      <c r="J80" s="5">
        <v>172642000</v>
      </c>
      <c r="K80" s="5">
        <v>184567000</v>
      </c>
      <c r="L80" s="5">
        <v>138399000</v>
      </c>
      <c r="M80" s="5">
        <v>135971000</v>
      </c>
    </row>
    <row r="81" spans="3:13" ht="15.5" x14ac:dyDescent="0.35">
      <c r="C81" t="s">
        <v>93</v>
      </c>
      <c r="D81" s="5">
        <v>480455000</v>
      </c>
      <c r="E81" s="5">
        <v>502067000</v>
      </c>
      <c r="F81" s="5">
        <v>510340000</v>
      </c>
      <c r="G81" s="5">
        <v>474165000</v>
      </c>
      <c r="I81" s="5">
        <v>502067000</v>
      </c>
      <c r="J81" s="5">
        <v>401508000</v>
      </c>
      <c r="K81" s="5">
        <v>416274000</v>
      </c>
      <c r="L81" s="5">
        <v>609013000</v>
      </c>
      <c r="M81" s="5">
        <v>413991000</v>
      </c>
    </row>
    <row r="82" spans="3:13" ht="15.5" x14ac:dyDescent="0.35">
      <c r="C82" t="s">
        <v>94</v>
      </c>
      <c r="D82" s="5">
        <v>138659000</v>
      </c>
      <c r="E82" s="5">
        <v>85458000</v>
      </c>
      <c r="F82" s="5">
        <v>109255000</v>
      </c>
      <c r="G82" s="5">
        <v>111459000</v>
      </c>
      <c r="I82" s="5">
        <v>85458000</v>
      </c>
      <c r="J82" s="5">
        <v>68549000</v>
      </c>
      <c r="K82" s="5">
        <v>65090000</v>
      </c>
      <c r="L82" s="5">
        <v>120096000</v>
      </c>
      <c r="M82" s="5">
        <v>72560000</v>
      </c>
    </row>
    <row r="83" spans="3:13" ht="15.5" x14ac:dyDescent="0.35">
      <c r="C83" t="s">
        <v>95</v>
      </c>
      <c r="D83" s="5">
        <v>24900000</v>
      </c>
      <c r="E83" s="5">
        <v>24900000</v>
      </c>
      <c r="F83" s="5">
        <v>40500000</v>
      </c>
      <c r="G83" s="5">
        <v>40500000</v>
      </c>
      <c r="I83" s="5">
        <v>24900000</v>
      </c>
      <c r="J83" s="5">
        <v>40500000</v>
      </c>
      <c r="K83" s="5">
        <v>53700000</v>
      </c>
      <c r="L83" s="5">
        <v>66600000</v>
      </c>
      <c r="M83" s="5">
        <v>4799000</v>
      </c>
    </row>
    <row r="84" spans="3:13" ht="15.5" x14ac:dyDescent="0.35">
      <c r="C84" t="s">
        <v>96</v>
      </c>
      <c r="D84" s="5">
        <v>24900000</v>
      </c>
      <c r="E84" s="5">
        <v>24900000</v>
      </c>
      <c r="F84" s="5">
        <v>40500000</v>
      </c>
      <c r="G84" s="5">
        <v>40500000</v>
      </c>
      <c r="I84" s="5">
        <v>24900000</v>
      </c>
      <c r="J84" s="5">
        <v>40500000</v>
      </c>
      <c r="K84" s="5">
        <v>53700000</v>
      </c>
      <c r="L84" s="5">
        <v>66600000</v>
      </c>
      <c r="M84" s="5">
        <v>4799000</v>
      </c>
    </row>
    <row r="85" spans="3:13" ht="15.5" x14ac:dyDescent="0.35">
      <c r="C85" t="s">
        <v>73</v>
      </c>
      <c r="D85" s="5">
        <v>94797000</v>
      </c>
      <c r="E85" s="5">
        <v>96915000</v>
      </c>
      <c r="F85" s="5">
        <v>14382000</v>
      </c>
      <c r="G85" s="5">
        <v>84556000</v>
      </c>
      <c r="I85" s="5">
        <v>96915000</v>
      </c>
      <c r="J85" s="5">
        <v>135979000</v>
      </c>
      <c r="K85" s="5">
        <v>369340000</v>
      </c>
      <c r="L85" s="5">
        <v>344043000</v>
      </c>
      <c r="M85" s="5">
        <v>-23560000</v>
      </c>
    </row>
    <row r="86" spans="3:13" ht="15.5" x14ac:dyDescent="0.35">
      <c r="C86" t="s">
        <v>97</v>
      </c>
      <c r="D86" s="5">
        <v>1808595000</v>
      </c>
      <c r="E86" s="5">
        <v>1796272000</v>
      </c>
      <c r="F86" s="5">
        <v>2225880000</v>
      </c>
      <c r="G86" s="5">
        <v>2196629000</v>
      </c>
      <c r="I86" s="5">
        <v>1796272000</v>
      </c>
      <c r="J86" s="5">
        <v>2214052000</v>
      </c>
      <c r="K86" s="5">
        <v>3270164000</v>
      </c>
      <c r="L86" s="5">
        <v>4326775000</v>
      </c>
      <c r="M86" s="5">
        <v>2429181000</v>
      </c>
    </row>
    <row r="87" spans="3:13" ht="15.5" x14ac:dyDescent="0.35">
      <c r="C87" t="s">
        <v>98</v>
      </c>
    </row>
    <row r="88" spans="3:13" ht="15.5" x14ac:dyDescent="0.35">
      <c r="C88" t="s">
        <v>99</v>
      </c>
      <c r="D88" s="5">
        <v>379976000</v>
      </c>
      <c r="E88" s="5">
        <v>381486000</v>
      </c>
      <c r="F88" s="5">
        <v>393163000</v>
      </c>
      <c r="G88" s="5">
        <v>401635000</v>
      </c>
      <c r="I88" s="5">
        <v>381486000</v>
      </c>
      <c r="J88" s="5">
        <v>416209000</v>
      </c>
      <c r="K88" s="5">
        <v>438216000</v>
      </c>
      <c r="L88" s="5">
        <v>467828000</v>
      </c>
      <c r="M88" s="5">
        <v>643672000</v>
      </c>
    </row>
    <row r="89" spans="3:13" ht="15.5" x14ac:dyDescent="0.35">
      <c r="C89" t="s">
        <v>100</v>
      </c>
      <c r="D89" s="5">
        <v>1371929000</v>
      </c>
      <c r="E89" s="5">
        <v>1303529000</v>
      </c>
      <c r="F89" s="5">
        <v>1218856000</v>
      </c>
      <c r="G89" s="5">
        <v>1149543000</v>
      </c>
      <c r="I89" s="5">
        <v>1303529000</v>
      </c>
      <c r="J89" s="5">
        <v>974740000</v>
      </c>
      <c r="K89" s="5">
        <v>532512000</v>
      </c>
      <c r="L89" s="5">
        <v>417669000</v>
      </c>
      <c r="M89" s="5">
        <v>474806000</v>
      </c>
    </row>
    <row r="90" spans="3:13" ht="15.5" x14ac:dyDescent="0.35">
      <c r="C90" t="s">
        <v>101</v>
      </c>
      <c r="D90" s="5">
        <v>737278000</v>
      </c>
      <c r="E90" s="5">
        <v>737278000</v>
      </c>
      <c r="F90" s="5">
        <v>737278000</v>
      </c>
      <c r="G90" s="5">
        <v>737278000</v>
      </c>
      <c r="I90" s="5">
        <v>737278000</v>
      </c>
      <c r="J90" s="5">
        <v>737278000</v>
      </c>
      <c r="K90" s="5">
        <v>737278000</v>
      </c>
      <c r="L90" s="5">
        <v>737278000</v>
      </c>
      <c r="M90" s="5">
        <v>737278000</v>
      </c>
    </row>
    <row r="91" spans="3:13" ht="15.5" x14ac:dyDescent="0.35">
      <c r="C91" t="s">
        <v>102</v>
      </c>
      <c r="D91" s="5">
        <v>1811000</v>
      </c>
      <c r="E91" s="5">
        <v>1882000</v>
      </c>
      <c r="F91" s="5">
        <v>1661000</v>
      </c>
      <c r="G91" s="5">
        <v>1828000</v>
      </c>
      <c r="I91" s="5">
        <v>1882000</v>
      </c>
      <c r="J91" s="5">
        <v>2335000</v>
      </c>
      <c r="K91" s="5">
        <v>2296000</v>
      </c>
      <c r="L91" s="5">
        <v>2100000</v>
      </c>
      <c r="M91" s="5">
        <v>432000</v>
      </c>
    </row>
    <row r="92" spans="3:13" ht="15.5" x14ac:dyDescent="0.35">
      <c r="C92" t="s">
        <v>103</v>
      </c>
      <c r="D92" s="5">
        <v>29942000</v>
      </c>
      <c r="E92" s="5">
        <v>30929000</v>
      </c>
      <c r="F92" s="5">
        <v>30106000</v>
      </c>
      <c r="G92" s="5">
        <v>33187000</v>
      </c>
      <c r="I92" s="5">
        <v>30929000</v>
      </c>
      <c r="J92" s="5">
        <v>42223000</v>
      </c>
      <c r="K92" s="5">
        <v>49095000</v>
      </c>
      <c r="L92" s="5">
        <v>54443000</v>
      </c>
      <c r="M92" s="5">
        <v>66057000</v>
      </c>
    </row>
    <row r="93" spans="3:13" ht="15.5" x14ac:dyDescent="0.35">
      <c r="C93" t="s">
        <v>104</v>
      </c>
      <c r="D93" s="5">
        <v>3971945000</v>
      </c>
      <c r="E93" s="5">
        <v>3910004000</v>
      </c>
      <c r="F93" s="5">
        <v>3886044000</v>
      </c>
      <c r="G93" s="5">
        <v>3891440000</v>
      </c>
      <c r="I93" s="5">
        <v>3910004000</v>
      </c>
      <c r="J93" s="5">
        <v>3778606000</v>
      </c>
      <c r="K93" s="5">
        <v>3792752000</v>
      </c>
      <c r="L93" s="5">
        <v>3639311000</v>
      </c>
      <c r="M93" s="5">
        <v>3761629000</v>
      </c>
    </row>
    <row r="94" spans="3:13" ht="15.5" x14ac:dyDescent="0.35">
      <c r="C94" t="s">
        <v>105</v>
      </c>
      <c r="D94" s="5">
        <v>5780540000</v>
      </c>
      <c r="E94" s="5">
        <v>5706276000</v>
      </c>
      <c r="F94" s="5">
        <v>6111924000</v>
      </c>
      <c r="G94" s="5">
        <v>6088069000</v>
      </c>
      <c r="I94" s="5">
        <v>5706276000</v>
      </c>
      <c r="J94" s="5">
        <v>5992658000</v>
      </c>
      <c r="K94" s="5">
        <v>7062916000</v>
      </c>
      <c r="L94" s="5">
        <v>7966086000</v>
      </c>
      <c r="M94" s="5">
        <v>6190810000</v>
      </c>
    </row>
    <row r="95" spans="3:13" ht="15.5" x14ac:dyDescent="0.35">
      <c r="C95" t="s">
        <v>106</v>
      </c>
    </row>
    <row r="96" spans="3:13" ht="15.5" x14ac:dyDescent="0.35">
      <c r="C96" t="s">
        <v>107</v>
      </c>
    </row>
    <row r="97" spans="3:13" ht="15.5" x14ac:dyDescent="0.35">
      <c r="C97" t="s">
        <v>108</v>
      </c>
      <c r="D97" s="5">
        <v>863180000</v>
      </c>
      <c r="E97" s="5">
        <v>922656000</v>
      </c>
      <c r="F97" s="5">
        <v>960219000</v>
      </c>
      <c r="G97" s="5">
        <v>981508000</v>
      </c>
      <c r="I97" s="5">
        <v>922656000</v>
      </c>
      <c r="J97" s="5">
        <v>872699000</v>
      </c>
      <c r="K97" s="5">
        <v>1798306000</v>
      </c>
      <c r="L97" s="5">
        <v>2117564000</v>
      </c>
      <c r="M97" s="5">
        <v>1095851000</v>
      </c>
    </row>
    <row r="98" spans="3:13" ht="15.5" x14ac:dyDescent="0.35">
      <c r="C98" t="s">
        <v>109</v>
      </c>
    </row>
    <row r="99" spans="3:13" ht="15.5" x14ac:dyDescent="0.35">
      <c r="C99" t="s">
        <v>110</v>
      </c>
      <c r="D99" s="5">
        <v>427968000</v>
      </c>
      <c r="E99" s="5">
        <v>523421000</v>
      </c>
      <c r="F99" s="5">
        <v>617003000</v>
      </c>
      <c r="G99" s="5">
        <v>547955000</v>
      </c>
      <c r="I99" s="5">
        <v>523421000</v>
      </c>
      <c r="J99" s="5">
        <v>468184000</v>
      </c>
      <c r="K99" s="5">
        <v>385641000</v>
      </c>
      <c r="L99" s="5">
        <v>277770000</v>
      </c>
      <c r="M99" s="5">
        <v>263825000</v>
      </c>
    </row>
    <row r="100" spans="3:13" ht="15.5" x14ac:dyDescent="0.35">
      <c r="C100" t="s">
        <v>111</v>
      </c>
      <c r="D100" s="5">
        <v>290711000</v>
      </c>
      <c r="E100" s="5">
        <v>272247000</v>
      </c>
      <c r="F100" s="5">
        <v>246582000</v>
      </c>
      <c r="G100" s="5">
        <v>309421000</v>
      </c>
      <c r="I100" s="5">
        <v>272247000</v>
      </c>
      <c r="J100" s="5">
        <v>267135000</v>
      </c>
      <c r="K100" s="5">
        <v>189027000</v>
      </c>
      <c r="L100" s="5">
        <v>101399000</v>
      </c>
      <c r="M100" s="5">
        <v>47088000</v>
      </c>
    </row>
    <row r="101" spans="3:13" ht="15.5" x14ac:dyDescent="0.35">
      <c r="C101" t="s">
        <v>112</v>
      </c>
    </row>
    <row r="102" spans="3:13" ht="15.5" x14ac:dyDescent="0.35">
      <c r="C102" t="s">
        <v>113</v>
      </c>
      <c r="D102" s="5">
        <v>52825000</v>
      </c>
      <c r="E102" s="5">
        <v>38628000</v>
      </c>
      <c r="F102" s="5">
        <v>43591000</v>
      </c>
      <c r="G102" s="5">
        <v>57958000</v>
      </c>
      <c r="I102" s="5">
        <v>38628000</v>
      </c>
      <c r="J102" s="5">
        <v>25351000</v>
      </c>
      <c r="K102" s="5">
        <v>54743000</v>
      </c>
      <c r="L102" s="5">
        <v>1091449000</v>
      </c>
      <c r="M102" s="5">
        <v>305005000</v>
      </c>
    </row>
    <row r="103" spans="3:13" ht="15.5" x14ac:dyDescent="0.35">
      <c r="C103" t="s">
        <v>114</v>
      </c>
      <c r="D103" s="5">
        <v>6899000</v>
      </c>
      <c r="E103" s="5">
        <v>9944000</v>
      </c>
      <c r="F103" s="5">
        <v>14833000</v>
      </c>
      <c r="G103" s="5">
        <v>13518000</v>
      </c>
      <c r="I103" s="5">
        <v>9944000</v>
      </c>
      <c r="J103" s="5">
        <v>21085000</v>
      </c>
      <c r="K103" s="5">
        <v>3273000</v>
      </c>
      <c r="L103" s="5">
        <v>23519000</v>
      </c>
      <c r="M103" s="5">
        <v>3352000</v>
      </c>
    </row>
    <row r="104" spans="3:13" ht="15.5" x14ac:dyDescent="0.35">
      <c r="C104" t="s">
        <v>115</v>
      </c>
    </row>
    <row r="105" spans="3:13" ht="15.5" x14ac:dyDescent="0.35">
      <c r="C105" t="s">
        <v>116</v>
      </c>
      <c r="D105" s="5">
        <v>453435000</v>
      </c>
      <c r="E105" s="5">
        <v>342221000</v>
      </c>
      <c r="F105" s="5">
        <v>587578000</v>
      </c>
      <c r="G105" s="5">
        <v>495427000</v>
      </c>
      <c r="I105" s="5">
        <v>342221000</v>
      </c>
      <c r="J105" s="5">
        <v>645705000</v>
      </c>
      <c r="K105" s="5">
        <v>122050000</v>
      </c>
      <c r="L105" s="5">
        <v>306571000</v>
      </c>
      <c r="M105" s="5">
        <v>362990000</v>
      </c>
    </row>
    <row r="106" spans="3:13" ht="15.5" x14ac:dyDescent="0.35">
      <c r="C106" t="s">
        <v>117</v>
      </c>
      <c r="D106" s="5">
        <v>15849000</v>
      </c>
      <c r="E106" s="5">
        <v>17455000</v>
      </c>
      <c r="F106" s="5">
        <v>18408000</v>
      </c>
      <c r="G106" s="5">
        <v>10619000</v>
      </c>
      <c r="I106" s="5">
        <v>17455000</v>
      </c>
      <c r="J106" s="5">
        <v>2352000</v>
      </c>
      <c r="K106" s="5">
        <v>3592000</v>
      </c>
      <c r="L106" s="5">
        <v>7679000</v>
      </c>
      <c r="M106" s="5">
        <v>7971000</v>
      </c>
    </row>
    <row r="107" spans="3:13" ht="15.5" x14ac:dyDescent="0.35">
      <c r="C107" t="s">
        <v>118</v>
      </c>
      <c r="D107" s="5">
        <v>50583000</v>
      </c>
      <c r="E107" s="5">
        <v>44256000</v>
      </c>
      <c r="F107" s="5">
        <v>17766000</v>
      </c>
      <c r="G107" s="5">
        <v>26564000</v>
      </c>
      <c r="I107" s="5">
        <v>44256000</v>
      </c>
      <c r="J107" s="5">
        <v>43540000</v>
      </c>
      <c r="K107" s="5">
        <v>65160000</v>
      </c>
      <c r="L107" s="5">
        <v>110309000</v>
      </c>
      <c r="M107" s="5">
        <v>103596000</v>
      </c>
    </row>
    <row r="108" spans="3:13" ht="15.5" x14ac:dyDescent="0.35">
      <c r="C108" t="s">
        <v>119</v>
      </c>
      <c r="L108" s="5">
        <v>700890000</v>
      </c>
      <c r="M108" s="5">
        <v>740118000</v>
      </c>
    </row>
    <row r="109" spans="3:13" ht="15.5" x14ac:dyDescent="0.35">
      <c r="C109" t="s">
        <v>120</v>
      </c>
      <c r="D109" s="5">
        <v>21309000</v>
      </c>
      <c r="E109" s="5">
        <v>20305000</v>
      </c>
      <c r="F109" s="5">
        <v>19537000</v>
      </c>
      <c r="G109" s="5">
        <v>19040000</v>
      </c>
      <c r="I109" s="5">
        <v>20305000</v>
      </c>
      <c r="J109" s="5">
        <v>17556000</v>
      </c>
      <c r="K109" s="5">
        <v>5227000</v>
      </c>
      <c r="L109" s="5">
        <v>7291000</v>
      </c>
      <c r="M109" s="5">
        <v>9495000</v>
      </c>
    </row>
    <row r="110" spans="3:13" ht="15.5" x14ac:dyDescent="0.35">
      <c r="C110" t="s">
        <v>121</v>
      </c>
      <c r="D110" s="5">
        <v>1136130000</v>
      </c>
      <c r="E110" s="5">
        <v>1133992000</v>
      </c>
      <c r="F110" s="5">
        <v>1358983000</v>
      </c>
      <c r="G110" s="5">
        <v>1380423000</v>
      </c>
      <c r="I110" s="5">
        <v>1133992000</v>
      </c>
      <c r="J110" s="5">
        <v>1756477000</v>
      </c>
      <c r="K110" s="5">
        <v>474146000</v>
      </c>
      <c r="L110" s="5">
        <v>1340306000</v>
      </c>
      <c r="M110" s="5">
        <v>1472909000</v>
      </c>
    </row>
    <row r="111" spans="3:13" ht="15.5" x14ac:dyDescent="0.35">
      <c r="C111" t="s">
        <v>122</v>
      </c>
      <c r="D111" s="5">
        <v>1136130000</v>
      </c>
      <c r="E111" s="5">
        <v>1133992000</v>
      </c>
      <c r="F111" s="5">
        <v>1358983000</v>
      </c>
      <c r="G111" s="5">
        <v>1380423000</v>
      </c>
      <c r="I111" s="5">
        <v>1133992000</v>
      </c>
      <c r="J111" s="5">
        <v>1756477000</v>
      </c>
      <c r="K111" s="5">
        <v>474146000</v>
      </c>
      <c r="L111" s="5">
        <v>1340306000</v>
      </c>
      <c r="M111" s="5">
        <v>1472909000</v>
      </c>
    </row>
    <row r="112" spans="3:13" ht="15.5" x14ac:dyDescent="0.35">
      <c r="C112" t="s">
        <v>123</v>
      </c>
      <c r="D112" s="5">
        <v>17699000</v>
      </c>
      <c r="E112" s="5">
        <v>17828000</v>
      </c>
      <c r="F112" s="5">
        <v>17893000</v>
      </c>
      <c r="G112" s="5">
        <v>18191000</v>
      </c>
      <c r="I112" s="5">
        <v>17828000</v>
      </c>
      <c r="J112" s="5">
        <v>18248000</v>
      </c>
      <c r="K112" s="5">
        <v>3013000</v>
      </c>
      <c r="L112" s="5">
        <v>3256000</v>
      </c>
      <c r="M112" s="5">
        <v>3614000</v>
      </c>
    </row>
    <row r="113" spans="3:13" ht="15.5" x14ac:dyDescent="0.35">
      <c r="C113" t="s">
        <v>124</v>
      </c>
    </row>
    <row r="114" spans="3:13" ht="15.5" x14ac:dyDescent="0.35">
      <c r="C114" t="s">
        <v>125</v>
      </c>
      <c r="D114" s="5">
        <v>469284000</v>
      </c>
      <c r="E114" s="5">
        <v>359676000</v>
      </c>
      <c r="F114" s="5">
        <v>605986000</v>
      </c>
      <c r="G114" s="5">
        <v>506046000</v>
      </c>
      <c r="I114" s="5">
        <v>359676000</v>
      </c>
      <c r="J114" s="5">
        <v>648057000</v>
      </c>
      <c r="K114" s="5">
        <v>125642000</v>
      </c>
      <c r="L114" s="5">
        <v>314250000</v>
      </c>
      <c r="M114" s="5">
        <v>370961000</v>
      </c>
    </row>
    <row r="115" spans="3:13" ht="15.5" x14ac:dyDescent="0.35">
      <c r="C115" t="s">
        <v>126</v>
      </c>
      <c r="D115" s="5">
        <v>52223000</v>
      </c>
      <c r="E115" s="5">
        <v>52483000</v>
      </c>
      <c r="F115" s="5">
        <v>55494000</v>
      </c>
      <c r="G115" s="5">
        <v>57347000</v>
      </c>
      <c r="I115" s="5">
        <v>52483000</v>
      </c>
      <c r="J115" s="5">
        <v>60440000</v>
      </c>
      <c r="K115" s="5">
        <v>66305000</v>
      </c>
      <c r="L115" s="5">
        <v>73749000</v>
      </c>
      <c r="M115" s="5">
        <v>99567000</v>
      </c>
    </row>
    <row r="116" spans="3:13" ht="15.5" x14ac:dyDescent="0.35">
      <c r="C116" t="s">
        <v>127</v>
      </c>
      <c r="D116" s="5">
        <v>302864000</v>
      </c>
      <c r="E116" s="5">
        <v>404380000</v>
      </c>
      <c r="F116" s="5">
        <v>404468000</v>
      </c>
      <c r="G116" s="5">
        <v>535170000</v>
      </c>
      <c r="I116" s="5">
        <v>404380000</v>
      </c>
      <c r="J116" s="5">
        <v>776335000</v>
      </c>
      <c r="K116" s="5">
        <v>68173000</v>
      </c>
      <c r="L116" s="5">
        <v>71504000</v>
      </c>
      <c r="M116" s="5">
        <v>79504000</v>
      </c>
    </row>
    <row r="117" spans="3:13" ht="15.5" x14ac:dyDescent="0.35">
      <c r="C117" t="s">
        <v>128</v>
      </c>
      <c r="D117" s="5">
        <v>1999310000</v>
      </c>
      <c r="E117" s="5">
        <v>2056648000</v>
      </c>
      <c r="F117" s="5">
        <v>2319202000</v>
      </c>
      <c r="G117" s="5">
        <v>2361931000</v>
      </c>
      <c r="I117" s="5">
        <v>2056648000</v>
      </c>
      <c r="J117" s="5">
        <v>2629176000</v>
      </c>
      <c r="K117" s="5">
        <v>2272452000</v>
      </c>
      <c r="L117" s="5">
        <v>3457870000</v>
      </c>
      <c r="M117" s="5">
        <v>2568760000</v>
      </c>
    </row>
    <row r="118" spans="3:13" ht="15.5" x14ac:dyDescent="0.35">
      <c r="C118" t="s">
        <v>129</v>
      </c>
    </row>
    <row r="119" spans="3:13" ht="15.5" x14ac:dyDescent="0.35">
      <c r="C119" t="s">
        <v>130</v>
      </c>
      <c r="D119" s="5">
        <v>2519582000</v>
      </c>
      <c r="E119" s="5">
        <v>2519582000</v>
      </c>
      <c r="F119" s="5">
        <v>2519582000</v>
      </c>
      <c r="G119" s="5">
        <v>2519582000</v>
      </c>
      <c r="I119" s="5">
        <v>2519582000</v>
      </c>
      <c r="J119" s="5">
        <v>2519582000</v>
      </c>
      <c r="K119" s="5">
        <v>2366335000</v>
      </c>
      <c r="L119" s="5">
        <v>2366335000</v>
      </c>
      <c r="M119" s="5">
        <v>2366335000</v>
      </c>
    </row>
    <row r="120" spans="3:13" ht="15.5" x14ac:dyDescent="0.35">
      <c r="C120" t="s">
        <v>131</v>
      </c>
      <c r="D120" s="5">
        <v>-96511000</v>
      </c>
      <c r="E120" s="5">
        <v>-96511000</v>
      </c>
      <c r="F120" s="5">
        <v>-96511000</v>
      </c>
      <c r="G120" s="5">
        <v>-96511000</v>
      </c>
      <c r="I120" s="5">
        <v>-96511000</v>
      </c>
      <c r="J120" s="5">
        <v>-96511000</v>
      </c>
      <c r="K120" s="5">
        <v>-212235000</v>
      </c>
      <c r="L120" s="5">
        <v>-212235000</v>
      </c>
      <c r="M120" s="5">
        <v>-212235000</v>
      </c>
    </row>
    <row r="121" spans="3:13" ht="15.5" x14ac:dyDescent="0.35">
      <c r="C121" t="s">
        <v>132</v>
      </c>
      <c r="D121" s="5">
        <v>956602000</v>
      </c>
      <c r="E121" s="5">
        <v>813564000</v>
      </c>
      <c r="F121" s="5">
        <v>1027165000</v>
      </c>
      <c r="G121" s="5">
        <v>868524000</v>
      </c>
      <c r="I121" s="5">
        <v>813564000</v>
      </c>
      <c r="J121" s="5">
        <v>439841000</v>
      </c>
      <c r="K121" s="5">
        <v>1842560000</v>
      </c>
      <c r="L121" s="5">
        <v>1617570000</v>
      </c>
      <c r="M121" s="5">
        <v>1194177000</v>
      </c>
    </row>
    <row r="122" spans="3:13" ht="15.5" x14ac:dyDescent="0.35">
      <c r="C122" t="s">
        <v>133</v>
      </c>
      <c r="D122" s="5">
        <v>55000000</v>
      </c>
      <c r="E122" s="5">
        <v>55000000</v>
      </c>
      <c r="F122" s="5">
        <v>55000000</v>
      </c>
      <c r="G122" s="5">
        <v>55000000</v>
      </c>
      <c r="I122" s="5">
        <v>55000000</v>
      </c>
      <c r="J122" s="5">
        <v>45000000</v>
      </c>
    </row>
    <row r="123" spans="3:13" ht="15.5" x14ac:dyDescent="0.35">
      <c r="C123" t="s">
        <v>134</v>
      </c>
      <c r="D123" s="5">
        <v>901602000</v>
      </c>
      <c r="E123" s="5">
        <v>758564000</v>
      </c>
      <c r="F123" s="5">
        <v>972165000</v>
      </c>
      <c r="G123" s="5">
        <v>813524000</v>
      </c>
      <c r="I123" s="5">
        <v>758564000</v>
      </c>
      <c r="J123" s="5">
        <v>394841000</v>
      </c>
    </row>
    <row r="124" spans="3:13" ht="15.5" x14ac:dyDescent="0.35">
      <c r="C124" t="s">
        <v>135</v>
      </c>
      <c r="D124" s="5">
        <v>956602000</v>
      </c>
      <c r="E124" s="5">
        <v>813564000</v>
      </c>
      <c r="F124" s="5">
        <v>1027165000</v>
      </c>
      <c r="G124" s="5">
        <v>868524000</v>
      </c>
      <c r="I124" s="5">
        <v>813564000</v>
      </c>
      <c r="J124" s="5">
        <v>439841000</v>
      </c>
      <c r="K124" s="5">
        <v>1842560000</v>
      </c>
      <c r="L124" s="5">
        <v>1617570000</v>
      </c>
      <c r="M124" s="5">
        <v>1194177000</v>
      </c>
    </row>
    <row r="125" spans="3:13" ht="15.5" x14ac:dyDescent="0.35">
      <c r="C125" t="s">
        <v>136</v>
      </c>
      <c r="D125" s="5">
        <v>306760000</v>
      </c>
      <c r="E125" s="5">
        <v>316078000</v>
      </c>
      <c r="F125" s="5">
        <v>328104000</v>
      </c>
      <c r="G125" s="5">
        <v>349987000</v>
      </c>
      <c r="I125" s="5">
        <v>316078000</v>
      </c>
      <c r="J125" s="5">
        <v>364591000</v>
      </c>
      <c r="K125" s="5">
        <v>424464000</v>
      </c>
      <c r="L125" s="5">
        <v>392503000</v>
      </c>
      <c r="M125" s="5">
        <v>297333000</v>
      </c>
    </row>
    <row r="126" spans="3:13" ht="15.5" x14ac:dyDescent="0.35">
      <c r="C126" t="s">
        <v>8</v>
      </c>
      <c r="D126" s="5">
        <v>3781230000</v>
      </c>
      <c r="E126" s="5">
        <v>3649628000</v>
      </c>
      <c r="F126" s="5">
        <v>3792722000</v>
      </c>
      <c r="G126" s="5">
        <v>3726138000</v>
      </c>
      <c r="I126" s="5">
        <v>3649628000</v>
      </c>
      <c r="J126" s="5">
        <v>3363482000</v>
      </c>
      <c r="K126" s="5">
        <v>4790464000</v>
      </c>
      <c r="L126" s="5">
        <v>4508216000</v>
      </c>
      <c r="M126" s="5">
        <v>3622050000</v>
      </c>
    </row>
    <row r="127" spans="3:13" ht="15.5" x14ac:dyDescent="0.35">
      <c r="C127" t="s">
        <v>137</v>
      </c>
      <c r="D127" s="5">
        <v>5780540000</v>
      </c>
      <c r="E127" s="5">
        <v>5706276000</v>
      </c>
      <c r="F127" s="5">
        <v>6111924000</v>
      </c>
      <c r="G127" s="5">
        <v>6088069000</v>
      </c>
      <c r="I127" s="5">
        <v>5706276000</v>
      </c>
      <c r="J127" s="5">
        <v>5992658000</v>
      </c>
      <c r="K127" s="5">
        <v>7062916000</v>
      </c>
      <c r="L127" s="5">
        <v>7966086000</v>
      </c>
      <c r="M127" s="5">
        <v>6190810000</v>
      </c>
    </row>
    <row r="128" spans="3:13" ht="15.5" x14ac:dyDescent="0.35">
      <c r="C128" t="s">
        <v>138</v>
      </c>
      <c r="D128" s="5">
        <v>7786891760</v>
      </c>
      <c r="E128" s="5">
        <v>7786891760</v>
      </c>
      <c r="F128" s="5">
        <v>7786891760</v>
      </c>
      <c r="G128" s="5">
        <v>7786891760</v>
      </c>
      <c r="I128" s="5">
        <v>7786891760</v>
      </c>
      <c r="J128" s="5">
        <v>7786891760</v>
      </c>
      <c r="K128" s="5">
        <v>7008202560</v>
      </c>
      <c r="L128" s="5">
        <v>7008202560</v>
      </c>
      <c r="M128" s="5">
        <v>7008202560</v>
      </c>
    </row>
    <row r="130" spans="2:13" ht="15.5" x14ac:dyDescent="0.35">
      <c r="B130" t="s">
        <v>139</v>
      </c>
      <c r="C130" t="s">
        <v>140</v>
      </c>
      <c r="D130" s="5">
        <v>45289000</v>
      </c>
      <c r="E130" s="5">
        <v>174347000</v>
      </c>
      <c r="F130" s="5">
        <v>142671000</v>
      </c>
      <c r="G130" s="5">
        <v>215569000</v>
      </c>
      <c r="I130" s="5">
        <v>859242000</v>
      </c>
      <c r="J130" s="5">
        <v>1198515000</v>
      </c>
      <c r="K130" s="5">
        <v>595206000</v>
      </c>
      <c r="L130" s="5">
        <v>3135343000</v>
      </c>
      <c r="M130" s="5">
        <v>1065404000</v>
      </c>
    </row>
    <row r="131" spans="2:13" ht="15.5" x14ac:dyDescent="0.35">
      <c r="C131" t="s">
        <v>141</v>
      </c>
      <c r="D131" s="5">
        <v>1067055000</v>
      </c>
      <c r="E131" s="5">
        <v>1303988000</v>
      </c>
      <c r="F131" s="5">
        <v>1170146000</v>
      </c>
      <c r="G131" s="5">
        <v>1154143000</v>
      </c>
      <c r="I131" s="5">
        <v>4800728000</v>
      </c>
      <c r="J131" s="5">
        <v>5330411000</v>
      </c>
      <c r="K131" s="5">
        <v>6095300000</v>
      </c>
      <c r="L131" s="5">
        <v>7521465000</v>
      </c>
      <c r="M131" s="5">
        <v>3647621000</v>
      </c>
    </row>
    <row r="132" spans="2:13" ht="15.5" x14ac:dyDescent="0.35">
      <c r="C132" t="s">
        <v>142</v>
      </c>
      <c r="D132" s="5">
        <v>7831000</v>
      </c>
      <c r="E132" s="5">
        <v>10703000</v>
      </c>
      <c r="F132" s="5">
        <v>13827000</v>
      </c>
      <c r="G132" s="5">
        <v>14187000</v>
      </c>
      <c r="I132" s="5">
        <v>52807000</v>
      </c>
      <c r="J132" s="5">
        <v>83978000</v>
      </c>
      <c r="K132" s="5">
        <v>111088000</v>
      </c>
      <c r="L132" s="5">
        <v>54044000</v>
      </c>
      <c r="M132" s="5">
        <v>28007000</v>
      </c>
    </row>
    <row r="133" spans="2:13" ht="15.5" x14ac:dyDescent="0.35">
      <c r="C133" t="s">
        <v>143</v>
      </c>
      <c r="D133" s="5">
        <v>-835726000</v>
      </c>
      <c r="E133" s="5">
        <v>-934337000</v>
      </c>
      <c r="F133" s="5">
        <v>-771827000</v>
      </c>
      <c r="G133" s="5">
        <v>-714909000</v>
      </c>
      <c r="I133" s="5">
        <v>-3012409000</v>
      </c>
      <c r="J133" s="5">
        <v>-2994774000</v>
      </c>
      <c r="K133" s="5">
        <v>-2927993000</v>
      </c>
      <c r="L133" s="5">
        <v>-2532687000</v>
      </c>
      <c r="M133" s="5">
        <v>-1713912000</v>
      </c>
    </row>
    <row r="134" spans="2:13" ht="15.5" x14ac:dyDescent="0.35">
      <c r="C134" t="s">
        <v>144</v>
      </c>
      <c r="D134" s="5">
        <v>-137818000</v>
      </c>
      <c r="E134" s="5">
        <v>-149456000</v>
      </c>
      <c r="F134" s="5">
        <v>-154999000</v>
      </c>
      <c r="G134" s="5">
        <v>-171110000</v>
      </c>
      <c r="I134" s="5">
        <v>-706528000</v>
      </c>
      <c r="J134" s="5">
        <v>-947805000</v>
      </c>
      <c r="K134" s="5">
        <v>-1357339000</v>
      </c>
      <c r="L134" s="5">
        <v>-1043571000</v>
      </c>
      <c r="M134" s="5">
        <v>-499412000</v>
      </c>
    </row>
    <row r="135" spans="2:13" ht="15.5" x14ac:dyDescent="0.35">
      <c r="C135" t="s">
        <v>145</v>
      </c>
      <c r="D135" s="5">
        <v>-46716000</v>
      </c>
      <c r="E135" s="5">
        <v>-50361000</v>
      </c>
      <c r="F135" s="5">
        <v>-49201000</v>
      </c>
      <c r="G135" s="5">
        <v>-58446000</v>
      </c>
      <c r="I135" s="5">
        <v>-204143000</v>
      </c>
      <c r="J135" s="5">
        <v>-255674000</v>
      </c>
      <c r="K135" s="5">
        <v>-1318354000</v>
      </c>
      <c r="L135" s="5">
        <v>-743289000</v>
      </c>
      <c r="M135" s="5">
        <v>-272277000</v>
      </c>
    </row>
    <row r="136" spans="2:13" ht="15.5" x14ac:dyDescent="0.35">
      <c r="C136" t="s">
        <v>146</v>
      </c>
      <c r="D136" s="5">
        <v>2412000</v>
      </c>
      <c r="F136" s="5">
        <v>20000</v>
      </c>
      <c r="G136" s="5">
        <v>4456000</v>
      </c>
      <c r="I136" s="5">
        <v>4634000</v>
      </c>
      <c r="J136" s="5">
        <v>6924000</v>
      </c>
      <c r="K136" s="5">
        <v>253000</v>
      </c>
      <c r="L136" s="5">
        <v>2881000</v>
      </c>
      <c r="M136" s="5">
        <v>3457000</v>
      </c>
    </row>
    <row r="137" spans="2:13" ht="15.5" x14ac:dyDescent="0.35">
      <c r="C137" t="s">
        <v>147</v>
      </c>
      <c r="D137" s="5">
        <v>52299000</v>
      </c>
      <c r="E137" s="5">
        <v>25048000</v>
      </c>
      <c r="F137" s="5">
        <v>41343000</v>
      </c>
      <c r="G137" s="5">
        <v>18403000</v>
      </c>
      <c r="I137" s="5">
        <v>182802000</v>
      </c>
      <c r="J137" s="5">
        <v>190160000</v>
      </c>
      <c r="K137" s="5">
        <v>148315000</v>
      </c>
      <c r="L137" s="5">
        <v>20838000</v>
      </c>
      <c r="M137" s="5">
        <v>11735000</v>
      </c>
    </row>
    <row r="138" spans="2:13" ht="15.5" x14ac:dyDescent="0.35">
      <c r="C138" t="s">
        <v>148</v>
      </c>
      <c r="D138" s="5">
        <v>-45581000</v>
      </c>
      <c r="E138" s="5">
        <v>-19557000</v>
      </c>
      <c r="F138" s="5">
        <v>-18589000</v>
      </c>
      <c r="G138" s="5">
        <v>-19534000</v>
      </c>
      <c r="I138" s="5">
        <v>-102799000</v>
      </c>
      <c r="J138" s="5">
        <v>-98998000</v>
      </c>
      <c r="K138" s="5">
        <v>-93520000</v>
      </c>
      <c r="L138" s="5">
        <v>-80989000</v>
      </c>
      <c r="M138" s="5">
        <v>-80441000</v>
      </c>
    </row>
    <row r="139" spans="2:13" ht="15.5" x14ac:dyDescent="0.35">
      <c r="C139" t="s">
        <v>149</v>
      </c>
      <c r="F139" s="5">
        <v>-69625000</v>
      </c>
      <c r="I139" s="5">
        <v>-91949000</v>
      </c>
      <c r="J139" s="5">
        <v>-44169000</v>
      </c>
    </row>
    <row r="140" spans="2:13" ht="15.5" x14ac:dyDescent="0.35">
      <c r="C140" t="s">
        <v>150</v>
      </c>
      <c r="D140" s="5">
        <v>-19327000</v>
      </c>
      <c r="E140" s="5">
        <v>-13116000</v>
      </c>
      <c r="F140" s="5">
        <v>-19667000</v>
      </c>
      <c r="G140" s="5">
        <v>-14896000</v>
      </c>
      <c r="I140" s="5">
        <v>-72331000</v>
      </c>
      <c r="J140" s="5">
        <v>-81376000</v>
      </c>
      <c r="K140" s="5">
        <v>-71961000</v>
      </c>
      <c r="L140" s="5">
        <v>-60515000</v>
      </c>
      <c r="M140" s="5">
        <v>-64751000</v>
      </c>
    </row>
    <row r="141" spans="2:13" ht="15.5" x14ac:dyDescent="0.35">
      <c r="C141" t="s">
        <v>151</v>
      </c>
      <c r="D141" s="5">
        <v>860000</v>
      </c>
      <c r="E141" s="5">
        <v>1435000</v>
      </c>
      <c r="F141" s="5">
        <v>1243000</v>
      </c>
      <c r="G141" s="5">
        <v>3275000</v>
      </c>
      <c r="I141" s="5">
        <v>8430000</v>
      </c>
      <c r="J141" s="5">
        <v>9838000</v>
      </c>
      <c r="K141" s="5">
        <v>9417000</v>
      </c>
      <c r="L141" s="5">
        <v>-2834000</v>
      </c>
      <c r="M141" s="5">
        <v>5377000</v>
      </c>
    </row>
    <row r="142" spans="2:13" ht="15.5" x14ac:dyDescent="0.35">
      <c r="C142" t="s">
        <v>152</v>
      </c>
      <c r="D142" s="5">
        <v>14487000</v>
      </c>
      <c r="E142" s="5">
        <v>-498133000</v>
      </c>
      <c r="F142" s="5">
        <v>-70283000</v>
      </c>
      <c r="G142" s="5">
        <v>-100206000</v>
      </c>
      <c r="I142" s="5">
        <v>-1061010000</v>
      </c>
      <c r="J142" s="5">
        <v>-2390458000</v>
      </c>
      <c r="K142" s="5">
        <v>-1365907000</v>
      </c>
      <c r="L142" s="5">
        <v>-1486570000</v>
      </c>
      <c r="M142" s="5">
        <v>-379701000</v>
      </c>
    </row>
    <row r="143" spans="2:13" ht="15.5" x14ac:dyDescent="0.35">
      <c r="C143" t="s">
        <v>153</v>
      </c>
      <c r="D143" s="5">
        <v>-68293000</v>
      </c>
      <c r="E143" s="5">
        <v>-168606000</v>
      </c>
      <c r="F143" s="5">
        <v>-82539000</v>
      </c>
      <c r="G143" s="5">
        <v>-41938000</v>
      </c>
      <c r="I143" s="5">
        <v>-381046000</v>
      </c>
      <c r="J143" s="5">
        <v>197627000</v>
      </c>
      <c r="K143" s="5">
        <v>-79015000</v>
      </c>
      <c r="L143" s="5">
        <v>251105000</v>
      </c>
      <c r="M143" s="5">
        <v>122501000</v>
      </c>
    </row>
    <row r="144" spans="2:13" ht="15.5" x14ac:dyDescent="0.35">
      <c r="C144" t="s">
        <v>154</v>
      </c>
      <c r="J144" s="5">
        <v>510304000</v>
      </c>
      <c r="K144" s="5">
        <v>3034000</v>
      </c>
      <c r="M144" s="5">
        <v>380000000</v>
      </c>
    </row>
    <row r="145" spans="3:13" ht="15.5" x14ac:dyDescent="0.35">
      <c r="C145" t="s">
        <v>155</v>
      </c>
      <c r="M145" s="5">
        <v>248000</v>
      </c>
    </row>
    <row r="146" spans="3:13" ht="15.5" x14ac:dyDescent="0.35">
      <c r="C146" t="s">
        <v>156</v>
      </c>
      <c r="D146" s="5">
        <v>18756000</v>
      </c>
      <c r="E146" s="5">
        <v>33032000</v>
      </c>
      <c r="F146" s="5">
        <v>7228000</v>
      </c>
      <c r="G146" s="5">
        <v>46119000</v>
      </c>
      <c r="I146" s="5">
        <v>91003000</v>
      </c>
      <c r="J146" s="5">
        <v>18478000</v>
      </c>
      <c r="K146" s="5">
        <v>146660000</v>
      </c>
      <c r="L146" s="5">
        <v>138769000</v>
      </c>
      <c r="M146" s="5">
        <v>13607000</v>
      </c>
    </row>
    <row r="147" spans="3:13" ht="15.5" x14ac:dyDescent="0.35">
      <c r="C147" t="s">
        <v>157</v>
      </c>
      <c r="J147" s="5">
        <v>729000</v>
      </c>
      <c r="K147" s="5">
        <v>607000</v>
      </c>
      <c r="L147" s="5">
        <v>20000</v>
      </c>
      <c r="M147" s="5">
        <v>400000</v>
      </c>
    </row>
    <row r="148" spans="3:13" ht="15.5" x14ac:dyDescent="0.35">
      <c r="C148" t="s">
        <v>158</v>
      </c>
      <c r="F148" s="5">
        <v>32000</v>
      </c>
      <c r="I148" s="5">
        <v>46000</v>
      </c>
      <c r="J148" s="5">
        <v>1210000</v>
      </c>
      <c r="K148" s="5">
        <v>463000</v>
      </c>
      <c r="L148" s="5">
        <v>234000</v>
      </c>
      <c r="M148" s="5">
        <v>8153000</v>
      </c>
    </row>
    <row r="149" spans="3:13" ht="15.5" x14ac:dyDescent="0.35">
      <c r="C149" t="s">
        <v>159</v>
      </c>
      <c r="J149" s="5">
        <v>-219156000</v>
      </c>
      <c r="K149" s="5">
        <v>-107000</v>
      </c>
    </row>
    <row r="150" spans="3:13" ht="15.5" x14ac:dyDescent="0.35">
      <c r="C150" t="s">
        <v>160</v>
      </c>
      <c r="D150" s="5">
        <v>-76165000</v>
      </c>
      <c r="E150" s="5">
        <v>-78986000</v>
      </c>
      <c r="F150" s="5">
        <v>-81636000</v>
      </c>
      <c r="G150" s="5">
        <v>-78950000</v>
      </c>
      <c r="I150" s="5">
        <v>-310890000</v>
      </c>
      <c r="J150" s="5">
        <v>-350502000</v>
      </c>
      <c r="K150" s="5">
        <v>-248550000</v>
      </c>
      <c r="L150" s="5">
        <v>-99312000</v>
      </c>
      <c r="M150" s="5">
        <v>-49607000</v>
      </c>
    </row>
    <row r="151" spans="3:13" ht="15.5" x14ac:dyDescent="0.35">
      <c r="C151" t="s">
        <v>161</v>
      </c>
      <c r="D151" s="5">
        <v>-7013000</v>
      </c>
      <c r="E151" s="5">
        <v>-96026000</v>
      </c>
      <c r="F151" s="5">
        <v>-4312000</v>
      </c>
      <c r="G151" s="5">
        <v>-5848000</v>
      </c>
      <c r="I151" s="5">
        <v>-120260000</v>
      </c>
      <c r="J151" s="5">
        <v>-39166000</v>
      </c>
      <c r="K151" s="5">
        <v>-114363000</v>
      </c>
      <c r="L151" s="5">
        <v>-344940000</v>
      </c>
      <c r="M151" s="5">
        <v>-112920000</v>
      </c>
    </row>
    <row r="152" spans="3:13" ht="15.5" x14ac:dyDescent="0.35">
      <c r="C152" t="s">
        <v>162</v>
      </c>
      <c r="M152" s="5">
        <v>-2510000</v>
      </c>
    </row>
    <row r="153" spans="3:13" ht="15.5" x14ac:dyDescent="0.35">
      <c r="C153" t="s">
        <v>163</v>
      </c>
      <c r="D153" s="5">
        <v>-744000</v>
      </c>
      <c r="E153" s="5">
        <v>-1968000</v>
      </c>
      <c r="F153" s="5">
        <v>-3843000</v>
      </c>
      <c r="G153" s="5">
        <v>-2370000</v>
      </c>
      <c r="I153" s="5">
        <v>-12987000</v>
      </c>
      <c r="J153" s="5">
        <v>-19547000</v>
      </c>
      <c r="K153" s="5">
        <v>-22461000</v>
      </c>
      <c r="L153" s="5">
        <v>-19168000</v>
      </c>
      <c r="M153" s="5">
        <v>-27055000</v>
      </c>
    </row>
    <row r="154" spans="3:13" ht="15.5" x14ac:dyDescent="0.35">
      <c r="C154" t="s">
        <v>164</v>
      </c>
      <c r="D154" s="5">
        <v>-2961000</v>
      </c>
      <c r="E154" s="5">
        <v>-24109000</v>
      </c>
      <c r="F154" s="5">
        <v>-4000</v>
      </c>
      <c r="G154" s="5">
        <v>-862000</v>
      </c>
      <c r="I154" s="5">
        <v>-27344000</v>
      </c>
      <c r="J154" s="5">
        <v>-1133000</v>
      </c>
      <c r="K154" s="5">
        <v>-1995000</v>
      </c>
      <c r="L154" s="5">
        <v>-1960000</v>
      </c>
      <c r="M154" s="5">
        <v>-1761000</v>
      </c>
    </row>
    <row r="155" spans="3:13" ht="15.5" x14ac:dyDescent="0.35">
      <c r="C155" t="s">
        <v>165</v>
      </c>
      <c r="D155" s="5">
        <v>-166000</v>
      </c>
      <c r="E155" s="5">
        <v>-549000</v>
      </c>
      <c r="F155" s="5">
        <v>-126000</v>
      </c>
      <c r="G155" s="5">
        <v>-27000</v>
      </c>
      <c r="I155" s="5">
        <v>-736000</v>
      </c>
      <c r="J155" s="5">
        <v>-1068000</v>
      </c>
      <c r="K155" s="5">
        <v>-1192000</v>
      </c>
      <c r="L155" s="5">
        <v>-1610000</v>
      </c>
      <c r="M155" s="5">
        <v>-159000</v>
      </c>
    </row>
    <row r="156" spans="3:13" ht="15.5" x14ac:dyDescent="0.35">
      <c r="C156" t="s">
        <v>166</v>
      </c>
    </row>
    <row r="157" spans="3:13" ht="15.5" x14ac:dyDescent="0.35">
      <c r="C157" t="s">
        <v>167</v>
      </c>
      <c r="J157" s="5">
        <v>-879000</v>
      </c>
      <c r="K157" s="5">
        <v>-3934000</v>
      </c>
      <c r="L157" s="5">
        <v>-196000</v>
      </c>
      <c r="M157" s="5">
        <v>-60393000</v>
      </c>
    </row>
    <row r="158" spans="3:13" ht="15.5" x14ac:dyDescent="0.35">
      <c r="C158" t="s">
        <v>168</v>
      </c>
      <c r="J158" s="5">
        <v>49957000</v>
      </c>
      <c r="K158" s="5">
        <v>-7030000</v>
      </c>
      <c r="L158" s="5">
        <v>-42927000</v>
      </c>
    </row>
    <row r="159" spans="3:13" ht="15.5" x14ac:dyDescent="0.35">
      <c r="C159" t="s">
        <v>169</v>
      </c>
      <c r="F159" s="5">
        <v>122000</v>
      </c>
      <c r="I159" s="5">
        <v>122000</v>
      </c>
      <c r="J159" s="5">
        <v>17644000</v>
      </c>
      <c r="L159" s="5">
        <v>3230000</v>
      </c>
    </row>
    <row r="160" spans="3:13" ht="15.5" x14ac:dyDescent="0.35">
      <c r="C160" t="s">
        <v>170</v>
      </c>
      <c r="L160" s="5">
        <v>131764000</v>
      </c>
    </row>
    <row r="161" spans="3:13" ht="15.5" x14ac:dyDescent="0.35">
      <c r="C161" t="s">
        <v>171</v>
      </c>
      <c r="D161" s="5">
        <v>14487000</v>
      </c>
      <c r="E161" s="5">
        <v>-498133000</v>
      </c>
      <c r="F161" s="5">
        <v>-70283000</v>
      </c>
      <c r="G161" s="5">
        <v>-100206000</v>
      </c>
      <c r="I161" s="5">
        <v>-1061010000</v>
      </c>
      <c r="J161" s="5">
        <v>-2390458000</v>
      </c>
      <c r="K161" s="5">
        <v>-1365907000</v>
      </c>
      <c r="L161" s="5">
        <v>-1486570000</v>
      </c>
      <c r="M161" s="5">
        <v>-379701000</v>
      </c>
    </row>
    <row r="162" spans="3:13" ht="15.5" x14ac:dyDescent="0.35">
      <c r="C162" t="s">
        <v>172</v>
      </c>
      <c r="E162" s="5">
        <v>-250000000</v>
      </c>
      <c r="I162" s="5">
        <v>-250000000</v>
      </c>
      <c r="J162" s="5">
        <v>-2971696000</v>
      </c>
      <c r="K162" s="5">
        <v>-1013780000</v>
      </c>
      <c r="L162" s="5">
        <v>-1511144000</v>
      </c>
      <c r="M162" s="5">
        <v>-580747000</v>
      </c>
    </row>
    <row r="163" spans="3:13" ht="15.5" x14ac:dyDescent="0.35">
      <c r="C163" t="s">
        <v>173</v>
      </c>
      <c r="D163" s="5">
        <v>-2450000</v>
      </c>
      <c r="E163" s="5">
        <v>-23572000</v>
      </c>
      <c r="F163" s="5">
        <v>-29226000</v>
      </c>
      <c r="G163" s="5">
        <v>-6237000</v>
      </c>
      <c r="I163" s="5">
        <v>-133031000</v>
      </c>
      <c r="J163" s="5">
        <v>-188009000</v>
      </c>
      <c r="K163" s="5">
        <v>-133541000</v>
      </c>
      <c r="L163" s="5">
        <v>-207809000</v>
      </c>
      <c r="M163" s="5">
        <v>-17810000</v>
      </c>
    </row>
    <row r="164" spans="3:13" ht="15.5" x14ac:dyDescent="0.35">
      <c r="C164" t="s">
        <v>174</v>
      </c>
      <c r="J164" s="5">
        <v>-750000000</v>
      </c>
    </row>
    <row r="165" spans="3:13" ht="15.5" x14ac:dyDescent="0.35">
      <c r="C165" t="s">
        <v>175</v>
      </c>
      <c r="D165" s="5">
        <v>-253000</v>
      </c>
      <c r="F165" s="5">
        <v>-1828000</v>
      </c>
      <c r="G165" s="5">
        <v>-84000</v>
      </c>
      <c r="I165" s="5">
        <v>-1912000</v>
      </c>
      <c r="K165" s="5">
        <v>-3256000</v>
      </c>
      <c r="L165" s="5">
        <v>-358000</v>
      </c>
      <c r="M165" s="5">
        <v>-9046000</v>
      </c>
    </row>
    <row r="166" spans="3:13" ht="15.5" x14ac:dyDescent="0.35">
      <c r="C166" t="s">
        <v>176</v>
      </c>
      <c r="D166" s="5">
        <v>-249000</v>
      </c>
      <c r="E166" s="5">
        <v>-255025000</v>
      </c>
      <c r="F166" s="5">
        <v>-10709000</v>
      </c>
      <c r="G166" s="5">
        <v>-34838000</v>
      </c>
      <c r="I166" s="5">
        <v>-616732000</v>
      </c>
      <c r="J166" s="5">
        <v>-84816000</v>
      </c>
      <c r="K166" s="5">
        <v>-284800000</v>
      </c>
      <c r="L166" s="5">
        <v>-61630000</v>
      </c>
      <c r="M166" s="5">
        <v>-487500000</v>
      </c>
    </row>
    <row r="167" spans="3:13" ht="15.5" x14ac:dyDescent="0.35">
      <c r="C167" t="s">
        <v>177</v>
      </c>
      <c r="D167" s="5">
        <v>-1560000</v>
      </c>
      <c r="E167" s="5">
        <v>-1991000</v>
      </c>
      <c r="F167" s="5">
        <v>-984000</v>
      </c>
      <c r="G167" s="5">
        <v>-1443000</v>
      </c>
      <c r="I167" s="5">
        <v>-5899000</v>
      </c>
      <c r="J167" s="5">
        <v>-6545000</v>
      </c>
      <c r="K167" s="5">
        <v>-6220000</v>
      </c>
      <c r="L167" s="5">
        <v>-5545000</v>
      </c>
      <c r="M167" s="5">
        <v>-3024000</v>
      </c>
    </row>
    <row r="168" spans="3:13" ht="15.5" x14ac:dyDescent="0.35">
      <c r="C168" t="s">
        <v>178</v>
      </c>
      <c r="J168" s="5">
        <v>-2905000</v>
      </c>
      <c r="K168" s="5">
        <v>-9029000</v>
      </c>
      <c r="M168" s="5">
        <v>-10897000</v>
      </c>
    </row>
    <row r="169" spans="3:13" ht="15.5" x14ac:dyDescent="0.35">
      <c r="C169" t="s">
        <v>179</v>
      </c>
      <c r="D169" s="5">
        <v>254000</v>
      </c>
      <c r="F169" s="5">
        <v>1830000</v>
      </c>
      <c r="G169" s="5">
        <v>84000</v>
      </c>
      <c r="I169" s="5">
        <v>1914000</v>
      </c>
      <c r="J169" s="5">
        <v>15596000</v>
      </c>
      <c r="K169" s="5">
        <v>3076000</v>
      </c>
      <c r="M169" s="5">
        <v>3614000</v>
      </c>
    </row>
    <row r="170" spans="3:13" ht="15.5" x14ac:dyDescent="0.35">
      <c r="C170" t="s">
        <v>180</v>
      </c>
      <c r="D170" s="5">
        <v>120090000</v>
      </c>
      <c r="E170" s="5">
        <v>16355000</v>
      </c>
      <c r="F170" s="5">
        <v>100934000</v>
      </c>
      <c r="G170" s="5">
        <v>121412000</v>
      </c>
      <c r="I170" s="5">
        <v>299950000</v>
      </c>
      <c r="J170" s="5">
        <v>604416000</v>
      </c>
      <c r="K170" s="5">
        <v>50980000</v>
      </c>
      <c r="L170" s="5">
        <v>7520000</v>
      </c>
      <c r="M170" s="5">
        <v>641000000</v>
      </c>
    </row>
    <row r="171" spans="3:13" ht="15.5" x14ac:dyDescent="0.35">
      <c r="C171" t="s">
        <v>181</v>
      </c>
      <c r="K171" s="5">
        <v>106000</v>
      </c>
    </row>
    <row r="172" spans="3:13" ht="15.5" x14ac:dyDescent="0.35">
      <c r="C172" t="s">
        <v>182</v>
      </c>
      <c r="M172" s="5">
        <v>-3627000</v>
      </c>
    </row>
    <row r="173" spans="3:13" ht="15.5" x14ac:dyDescent="0.35">
      <c r="C173" t="s">
        <v>183</v>
      </c>
      <c r="K173" s="5">
        <v>18614000</v>
      </c>
      <c r="M173" s="5">
        <v>350000</v>
      </c>
    </row>
    <row r="174" spans="3:13" ht="15.5" x14ac:dyDescent="0.35">
      <c r="C174" t="s">
        <v>184</v>
      </c>
    </row>
    <row r="175" spans="3:13" ht="15.5" x14ac:dyDescent="0.35">
      <c r="C175" t="s">
        <v>185</v>
      </c>
      <c r="E175" s="5">
        <v>16100000</v>
      </c>
      <c r="I175" s="5">
        <v>16100000</v>
      </c>
      <c r="J175" s="5">
        <v>15800000</v>
      </c>
      <c r="K175" s="5">
        <v>15400000</v>
      </c>
      <c r="L175" s="5">
        <v>66700000</v>
      </c>
    </row>
    <row r="176" spans="3:13" ht="15.5" x14ac:dyDescent="0.35">
      <c r="C176" t="s">
        <v>186</v>
      </c>
      <c r="L176" s="5">
        <v>233696000</v>
      </c>
    </row>
    <row r="177" spans="2:13" ht="15.5" x14ac:dyDescent="0.35">
      <c r="C177" t="s">
        <v>187</v>
      </c>
      <c r="J177" s="5">
        <v>-3225000</v>
      </c>
    </row>
    <row r="178" spans="2:13" ht="15.5" x14ac:dyDescent="0.35">
      <c r="C178" t="s">
        <v>188</v>
      </c>
      <c r="D178" s="5">
        <v>-8517000</v>
      </c>
      <c r="E178" s="5">
        <v>-492392000</v>
      </c>
      <c r="F178" s="5">
        <v>-10151000</v>
      </c>
      <c r="G178" s="5">
        <v>73425000</v>
      </c>
      <c r="I178" s="5">
        <v>-582814000</v>
      </c>
      <c r="J178" s="5">
        <v>-994316000</v>
      </c>
      <c r="K178" s="5">
        <v>-849716000</v>
      </c>
      <c r="L178" s="5">
        <v>1899878000</v>
      </c>
      <c r="M178" s="5">
        <v>808204000</v>
      </c>
    </row>
    <row r="179" spans="2:13" ht="15.5" x14ac:dyDescent="0.35">
      <c r="C179" t="s">
        <v>189</v>
      </c>
      <c r="D179" s="5">
        <v>925445000</v>
      </c>
      <c r="I179" s="5">
        <v>1518688000</v>
      </c>
      <c r="J179" s="5">
        <v>2534480000</v>
      </c>
      <c r="K179" s="5">
        <v>3380339000</v>
      </c>
      <c r="L179" s="5">
        <v>1503070000</v>
      </c>
      <c r="M179" s="5">
        <v>1100076000</v>
      </c>
    </row>
    <row r="180" spans="2:13" ht="15.5" x14ac:dyDescent="0.35">
      <c r="C180" t="s">
        <v>190</v>
      </c>
      <c r="D180" s="5">
        <v>-2497000</v>
      </c>
      <c r="E180" s="5">
        <v>807000</v>
      </c>
      <c r="F180" s="5">
        <v>-6763000</v>
      </c>
      <c r="G180" s="5">
        <v>2186000</v>
      </c>
      <c r="I180" s="5">
        <v>-10429000</v>
      </c>
      <c r="J180" s="5">
        <v>-21476000</v>
      </c>
      <c r="K180" s="5">
        <v>3857000</v>
      </c>
      <c r="L180" s="5">
        <v>-22609000</v>
      </c>
      <c r="M180" s="5">
        <v>-816000</v>
      </c>
    </row>
    <row r="181" spans="2:13" ht="15.5" x14ac:dyDescent="0.35">
      <c r="C181" t="s">
        <v>191</v>
      </c>
      <c r="D181" s="5">
        <v>914431000</v>
      </c>
      <c r="E181" s="5">
        <v>-491585000</v>
      </c>
      <c r="F181" s="5">
        <v>-16914000</v>
      </c>
      <c r="G181" s="5">
        <v>75611000</v>
      </c>
      <c r="I181" s="5">
        <v>925445000</v>
      </c>
      <c r="J181" s="5">
        <v>1518688000</v>
      </c>
      <c r="K181" s="5">
        <v>2534480000</v>
      </c>
      <c r="L181" s="5">
        <v>3380339000</v>
      </c>
      <c r="M181" s="5">
        <v>1907464000</v>
      </c>
    </row>
    <row r="183" spans="2:13" ht="15.5" x14ac:dyDescent="0.35">
      <c r="B183" t="s">
        <v>192</v>
      </c>
      <c r="C183" t="s">
        <v>10</v>
      </c>
      <c r="D183" s="5">
        <v>7790000000</v>
      </c>
      <c r="E183" s="5">
        <v>7790000000</v>
      </c>
      <c r="F183" s="5">
        <v>7790000000</v>
      </c>
      <c r="G183" s="5">
        <v>7790000000</v>
      </c>
      <c r="I183" s="5">
        <v>7790000000</v>
      </c>
      <c r="J183" s="5">
        <v>7790000000</v>
      </c>
      <c r="K183" s="5">
        <v>7010000000</v>
      </c>
      <c r="L183" s="5">
        <v>7010000000</v>
      </c>
      <c r="M183" s="5">
        <v>7010000000</v>
      </c>
    </row>
    <row r="184" spans="2:13" ht="15.5" x14ac:dyDescent="0.35">
      <c r="C184" t="s">
        <v>193</v>
      </c>
      <c r="D184" s="6">
        <v>309.67</v>
      </c>
      <c r="E184" s="5">
        <v>370</v>
      </c>
      <c r="F184" s="6">
        <v>333.53</v>
      </c>
      <c r="G184" s="6">
        <v>493.27</v>
      </c>
    </row>
    <row r="185" spans="2:13" ht="15.5" x14ac:dyDescent="0.35">
      <c r="C185" t="s">
        <v>194</v>
      </c>
      <c r="D185" s="6">
        <v>36.409999999999997</v>
      </c>
      <c r="E185" s="6">
        <v>18.850000000000001</v>
      </c>
      <c r="F185" s="6">
        <v>22.34</v>
      </c>
      <c r="G185" s="6">
        <v>13.68</v>
      </c>
    </row>
    <row r="186" spans="2:13" ht="15.5" x14ac:dyDescent="0.35">
      <c r="C186" t="s">
        <v>56</v>
      </c>
      <c r="D186" s="6">
        <v>4.99</v>
      </c>
      <c r="E186" s="6">
        <v>2.5</v>
      </c>
      <c r="F186" s="6">
        <v>2.93</v>
      </c>
      <c r="G186" s="6">
        <v>2.58</v>
      </c>
    </row>
    <row r="187" spans="2:13" ht="15.5" x14ac:dyDescent="0.35">
      <c r="C187" t="s">
        <v>195</v>
      </c>
      <c r="D187" s="5">
        <v>3991080000000</v>
      </c>
      <c r="E187" s="5">
        <v>4474820000000</v>
      </c>
      <c r="F187" s="5">
        <v>3804660000000</v>
      </c>
      <c r="G187" s="5">
        <v>5770390000000</v>
      </c>
    </row>
    <row r="188" spans="2:13" ht="15.5" x14ac:dyDescent="0.35">
      <c r="C188" t="s">
        <v>196</v>
      </c>
      <c r="D188" s="6">
        <v>2.4500000000000001E-2</v>
      </c>
      <c r="E188" s="6">
        <v>3.0200000000000001E-2</v>
      </c>
      <c r="F188" s="6">
        <v>2.5499999999999998E-2</v>
      </c>
      <c r="G188" s="6">
        <v>3.8900000000000004E-2</v>
      </c>
    </row>
    <row r="189" spans="2:13" ht="15.5" x14ac:dyDescent="0.35">
      <c r="C189" t="s">
        <v>197</v>
      </c>
      <c r="D189" s="6">
        <v>4.0800000000000003E-2</v>
      </c>
      <c r="E189" s="6">
        <v>5.1699999999999996E-2</v>
      </c>
      <c r="F189" s="6">
        <v>4.4900000000000002E-2</v>
      </c>
      <c r="G189" s="6">
        <v>7.0099999999999996E-2</v>
      </c>
    </row>
    <row r="190" spans="2:13" ht="15.5" x14ac:dyDescent="0.35">
      <c r="C190" t="s">
        <v>198</v>
      </c>
      <c r="D190" s="6">
        <v>4.36E-2</v>
      </c>
      <c r="E190" s="6">
        <v>4.6600000000000003E-2</v>
      </c>
      <c r="F190" s="6">
        <v>3.9100000000000003E-2</v>
      </c>
      <c r="G190" s="6">
        <v>6.4199999999999993E-2</v>
      </c>
    </row>
    <row r="191" spans="2:13" ht="15.5" x14ac:dyDescent="0.35">
      <c r="C191" t="s">
        <v>199</v>
      </c>
      <c r="D191" s="6">
        <v>32.57</v>
      </c>
      <c r="E191" s="6">
        <v>17.28</v>
      </c>
      <c r="F191" s="6">
        <v>16.55</v>
      </c>
      <c r="G191" s="6">
        <v>21.88</v>
      </c>
    </row>
    <row r="192" spans="2:13" ht="15.5" x14ac:dyDescent="0.35">
      <c r="C192" t="s">
        <v>200</v>
      </c>
      <c r="D192" s="5">
        <v>64277000000000</v>
      </c>
      <c r="E192" s="5">
        <v>61022000000000</v>
      </c>
      <c r="F192" s="5">
        <v>63308000000000</v>
      </c>
      <c r="G192" s="5">
        <v>60479000000000</v>
      </c>
    </row>
    <row r="193" spans="3:13" ht="15.5" x14ac:dyDescent="0.35">
      <c r="C193" t="s">
        <v>201</v>
      </c>
      <c r="D193" s="6">
        <v>1.49</v>
      </c>
      <c r="E193" s="6">
        <v>0.97</v>
      </c>
      <c r="F193" s="5">
        <v>1</v>
      </c>
      <c r="G193" s="6">
        <v>0.96</v>
      </c>
    </row>
    <row r="194" spans="3:13" ht="15.5" x14ac:dyDescent="0.35">
      <c r="C194" t="s">
        <v>202</v>
      </c>
      <c r="D194" s="6">
        <v>7584.86</v>
      </c>
      <c r="E194" s="6">
        <v>7157.79</v>
      </c>
      <c r="F194" s="6">
        <v>7426.76</v>
      </c>
      <c r="G194" s="6">
        <v>7037.25</v>
      </c>
    </row>
    <row r="195" spans="3:13" ht="15.5" x14ac:dyDescent="0.35">
      <c r="C195" t="s">
        <v>203</v>
      </c>
      <c r="D195" s="6">
        <v>1.89</v>
      </c>
      <c r="E195" s="6">
        <v>1.25</v>
      </c>
      <c r="F195" s="5">
        <v>1</v>
      </c>
      <c r="G195" s="6">
        <v>1.23</v>
      </c>
    </row>
    <row r="196" spans="3:13" ht="15.5" x14ac:dyDescent="0.35">
      <c r="C196" t="s">
        <v>204</v>
      </c>
      <c r="D196" s="6">
        <v>5971.41</v>
      </c>
      <c r="E196" s="6">
        <v>5570.67</v>
      </c>
      <c r="F196" s="6">
        <v>5842.77</v>
      </c>
      <c r="G196" s="6">
        <v>5496.66</v>
      </c>
    </row>
    <row r="197" spans="3:13" ht="15.5" x14ac:dyDescent="0.35">
      <c r="C197" t="s">
        <v>205</v>
      </c>
      <c r="D197" s="5">
        <v>860000000000</v>
      </c>
      <c r="E197" s="5">
        <v>740000000000</v>
      </c>
      <c r="F197" s="5">
        <v>297000000000</v>
      </c>
      <c r="G197" s="5">
        <v>431000000000</v>
      </c>
    </row>
    <row r="198" spans="3:13" ht="15.5" x14ac:dyDescent="0.35">
      <c r="C198" t="s">
        <v>206</v>
      </c>
      <c r="D198" s="5">
        <v>13427000000000</v>
      </c>
      <c r="E198" s="5">
        <v>13073000000000</v>
      </c>
      <c r="F198" s="5">
        <v>17165000000000</v>
      </c>
      <c r="G198" s="5">
        <v>17195000000000</v>
      </c>
    </row>
    <row r="199" spans="3:13" ht="15.5" x14ac:dyDescent="0.35">
      <c r="C199" t="s">
        <v>207</v>
      </c>
      <c r="D199" s="5">
        <v>59063000000000</v>
      </c>
      <c r="E199" s="5">
        <v>55737000000000</v>
      </c>
      <c r="F199" s="5">
        <v>57831000000000</v>
      </c>
      <c r="G199" s="5">
        <v>54798000000000</v>
      </c>
    </row>
    <row r="200" spans="3:13" ht="15.5" x14ac:dyDescent="0.35">
      <c r="C200" t="s">
        <v>22</v>
      </c>
      <c r="D200" s="5">
        <v>14286000000000</v>
      </c>
      <c r="E200" s="5">
        <v>13813000000000</v>
      </c>
      <c r="F200" s="5">
        <v>17462000000000</v>
      </c>
      <c r="G200" s="5">
        <v>17626000000000</v>
      </c>
    </row>
    <row r="201" spans="3:13" ht="15.5" x14ac:dyDescent="0.35">
      <c r="C201" t="s">
        <v>19</v>
      </c>
      <c r="D201" s="5">
        <v>-1258000000000</v>
      </c>
      <c r="E201" s="5">
        <v>-1660000000000</v>
      </c>
      <c r="F201" s="5">
        <v>-6191000000000</v>
      </c>
      <c r="G201" s="5">
        <v>-5648000000000</v>
      </c>
    </row>
    <row r="202" spans="3:13" ht="15.5" x14ac:dyDescent="0.35">
      <c r="C202" t="s">
        <v>208</v>
      </c>
      <c r="D202" s="5">
        <v>16071000000000</v>
      </c>
      <c r="E202" s="5">
        <v>14607000000000</v>
      </c>
      <c r="F202" s="5">
        <v>21126000000000</v>
      </c>
      <c r="G202" s="5">
        <v>19723000000000</v>
      </c>
    </row>
    <row r="203" spans="3:13" ht="15.5" x14ac:dyDescent="0.35">
      <c r="C203" t="s">
        <v>209</v>
      </c>
      <c r="D203" s="5">
        <v>770000000000</v>
      </c>
      <c r="E203" s="5">
        <v>2934000000000</v>
      </c>
      <c r="F203" s="5">
        <v>2631000000000</v>
      </c>
      <c r="G203" s="5">
        <v>3389000000000</v>
      </c>
    </row>
    <row r="204" spans="3:13" ht="15.5" x14ac:dyDescent="0.35">
      <c r="C204" t="s">
        <v>210</v>
      </c>
      <c r="D204" s="5">
        <v>-1307000000000</v>
      </c>
      <c r="E204" s="5">
        <v>-1360000000000</v>
      </c>
      <c r="F204" s="5">
        <v>-1499000000000</v>
      </c>
      <c r="G204" s="5">
        <v>-1294000000000</v>
      </c>
    </row>
    <row r="205" spans="3:13" ht="15.5" x14ac:dyDescent="0.35">
      <c r="C205" t="s">
        <v>11</v>
      </c>
      <c r="D205" s="5">
        <v>-538000000000</v>
      </c>
      <c r="E205" s="5">
        <v>1574000000000</v>
      </c>
      <c r="F205" s="5">
        <v>1132000000000</v>
      </c>
      <c r="G205" s="5">
        <v>2095000000000</v>
      </c>
    </row>
    <row r="206" spans="3:13" ht="15.5" x14ac:dyDescent="0.35">
      <c r="C206" t="s">
        <v>14</v>
      </c>
      <c r="D206" s="6">
        <v>-69.03</v>
      </c>
      <c r="E206" s="6">
        <v>202.12</v>
      </c>
      <c r="F206" s="6">
        <v>145.38</v>
      </c>
      <c r="G206" s="6">
        <v>269.05</v>
      </c>
    </row>
    <row r="207" spans="3:13" ht="15.5" x14ac:dyDescent="0.35">
      <c r="C207" t="s">
        <v>43</v>
      </c>
      <c r="I207" s="6">
        <v>1608.59</v>
      </c>
      <c r="J207" s="6">
        <v>2464.5300000000002</v>
      </c>
      <c r="K207" s="6">
        <v>2489.6799999999998</v>
      </c>
      <c r="L207" s="6">
        <v>4382.72</v>
      </c>
      <c r="M207" s="6">
        <v>1494.71</v>
      </c>
    </row>
    <row r="208" spans="3:13" ht="15.5" x14ac:dyDescent="0.35">
      <c r="C208" t="s">
        <v>55</v>
      </c>
      <c r="I208" s="6">
        <v>4.34</v>
      </c>
      <c r="J208" s="6">
        <v>3.44</v>
      </c>
      <c r="K208" s="5">
        <v>0</v>
      </c>
      <c r="L208" s="5">
        <v>0</v>
      </c>
      <c r="M208" s="5">
        <v>0</v>
      </c>
    </row>
    <row r="209" spans="3:13" ht="15.5" x14ac:dyDescent="0.35">
      <c r="C209" t="s">
        <v>58</v>
      </c>
      <c r="I209" s="6">
        <v>0.67</v>
      </c>
      <c r="J209" s="6">
        <v>0.78</v>
      </c>
      <c r="K209" s="5">
        <v>0</v>
      </c>
      <c r="L209" s="5">
        <v>0</v>
      </c>
      <c r="M209" s="5">
        <v>0</v>
      </c>
    </row>
    <row r="210" spans="3:13" ht="15.5" x14ac:dyDescent="0.35">
      <c r="C210" t="s">
        <v>211</v>
      </c>
      <c r="I210" s="5">
        <v>19223220000000</v>
      </c>
      <c r="J210" s="5">
        <v>25117800000000</v>
      </c>
      <c r="K210" s="5">
        <v>22731040000000</v>
      </c>
      <c r="L210" s="5">
        <v>59004530000000</v>
      </c>
      <c r="M210" s="5">
        <v>23104990000000</v>
      </c>
    </row>
    <row r="211" spans="3:13" ht="15.5" x14ac:dyDescent="0.35">
      <c r="C211" t="s">
        <v>212</v>
      </c>
      <c r="I211" s="6">
        <v>0.1313</v>
      </c>
      <c r="J211" s="6">
        <v>0.19820000000000002</v>
      </c>
      <c r="K211" s="6">
        <v>0.16</v>
      </c>
      <c r="L211" s="6">
        <v>0.24729999999999999</v>
      </c>
      <c r="M211" s="6">
        <v>0.11849999999999999</v>
      </c>
    </row>
    <row r="212" spans="3:13" ht="15.5" x14ac:dyDescent="0.35">
      <c r="C212" t="s">
        <v>213</v>
      </c>
      <c r="I212" s="6">
        <v>0.22469999999999998</v>
      </c>
      <c r="J212" s="6">
        <v>0.39610000000000001</v>
      </c>
      <c r="K212" s="6">
        <v>0.25879999999999997</v>
      </c>
      <c r="L212" s="6">
        <v>0.47859999999999997</v>
      </c>
      <c r="M212" s="6">
        <v>0.22070000000000001</v>
      </c>
    </row>
    <row r="213" spans="3:13" ht="15.5" x14ac:dyDescent="0.35">
      <c r="C213" t="s">
        <v>214</v>
      </c>
      <c r="I213" s="6">
        <v>0.2112</v>
      </c>
      <c r="J213" s="6">
        <v>0.2863</v>
      </c>
      <c r="K213" s="6">
        <v>0.24609999999999999</v>
      </c>
      <c r="L213" s="6">
        <v>0.65799999999999992</v>
      </c>
      <c r="M213" s="6">
        <v>0.49959999999999999</v>
      </c>
    </row>
    <row r="214" spans="3:13" ht="15.5" x14ac:dyDescent="0.35">
      <c r="C214" t="s">
        <v>215</v>
      </c>
      <c r="I214" s="6">
        <v>17.79</v>
      </c>
      <c r="J214" s="6">
        <v>19.04</v>
      </c>
      <c r="K214" s="6">
        <v>18.649999999999999</v>
      </c>
      <c r="L214" s="6">
        <v>52.71</v>
      </c>
      <c r="M214" s="6">
        <v>17.66</v>
      </c>
    </row>
    <row r="215" spans="3:13" ht="15.5" x14ac:dyDescent="0.35">
      <c r="C215" t="s">
        <v>52</v>
      </c>
      <c r="I215" s="6">
        <v>0.97</v>
      </c>
      <c r="J215" s="6">
        <v>1.36</v>
      </c>
      <c r="K215" s="5">
        <v>0</v>
      </c>
      <c r="L215" s="5">
        <v>0</v>
      </c>
      <c r="M215" s="5">
        <v>0</v>
      </c>
    </row>
    <row r="216" spans="3:13" ht="15.5" x14ac:dyDescent="0.35">
      <c r="C216" t="s">
        <v>49</v>
      </c>
      <c r="I216" s="6">
        <v>7157.79</v>
      </c>
      <c r="J216" s="6">
        <v>6222.39</v>
      </c>
      <c r="K216" s="6">
        <v>9618.25</v>
      </c>
      <c r="L216" s="6">
        <v>9156.73</v>
      </c>
      <c r="M216" s="6">
        <v>6773.54</v>
      </c>
    </row>
    <row r="217" spans="3:13" ht="15.5" x14ac:dyDescent="0.35">
      <c r="C217" t="s">
        <v>216</v>
      </c>
      <c r="I217" s="6">
        <v>1.25</v>
      </c>
      <c r="J217" s="6">
        <v>1.81</v>
      </c>
      <c r="K217" s="5">
        <v>0</v>
      </c>
      <c r="L217" s="5">
        <v>0</v>
      </c>
      <c r="M217" s="5">
        <v>0</v>
      </c>
    </row>
    <row r="218" spans="3:13" ht="15.5" x14ac:dyDescent="0.35">
      <c r="C218" t="s">
        <v>217</v>
      </c>
      <c r="I218" s="6">
        <v>5570.67</v>
      </c>
      <c r="J218" s="6">
        <v>4687.7700000000004</v>
      </c>
      <c r="K218" s="6">
        <v>7988.98</v>
      </c>
      <c r="L218" s="6">
        <v>7511.74</v>
      </c>
      <c r="M218" s="6">
        <v>5270.58</v>
      </c>
    </row>
    <row r="219" spans="3:13" ht="15.5" x14ac:dyDescent="0.35">
      <c r="C219" t="s">
        <v>218</v>
      </c>
      <c r="I219" s="5">
        <v>740000000000</v>
      </c>
      <c r="J219" s="5">
        <v>703000000000</v>
      </c>
      <c r="L219" s="5">
        <v>1720000000000</v>
      </c>
      <c r="M219" s="5">
        <v>1479000000000</v>
      </c>
    </row>
    <row r="220" spans="3:13" ht="15.5" x14ac:dyDescent="0.35">
      <c r="C220" t="s">
        <v>219</v>
      </c>
      <c r="I220" s="5">
        <v>13073000000000</v>
      </c>
      <c r="J220" s="5">
        <v>23309000000000</v>
      </c>
      <c r="K220" s="5">
        <v>3039000000000</v>
      </c>
      <c r="L220" s="5">
        <v>16994000000000</v>
      </c>
      <c r="M220" s="5">
        <v>17051000000000</v>
      </c>
    </row>
    <row r="221" spans="3:13" ht="15.5" x14ac:dyDescent="0.35">
      <c r="C221" t="s">
        <v>24</v>
      </c>
      <c r="I221" s="5">
        <v>13813000000000</v>
      </c>
      <c r="J221" s="5">
        <v>24012000000000</v>
      </c>
      <c r="K221" s="5">
        <v>14809000000000</v>
      </c>
      <c r="L221" s="5">
        <v>18714000000000</v>
      </c>
      <c r="M221" s="5">
        <v>18530000000000</v>
      </c>
    </row>
    <row r="222" spans="3:13" ht="15.5" x14ac:dyDescent="0.35">
      <c r="C222" t="s">
        <v>21</v>
      </c>
      <c r="I222" s="5">
        <v>-1660000000000</v>
      </c>
      <c r="J222" s="5">
        <v>-525000000000</v>
      </c>
      <c r="K222" s="5">
        <v>-24321000000000</v>
      </c>
      <c r="L222" s="5">
        <v>-33993000000000</v>
      </c>
      <c r="M222" s="5">
        <v>-2931000000000</v>
      </c>
    </row>
    <row r="223" spans="3:13" ht="15.5" x14ac:dyDescent="0.35">
      <c r="C223" t="s">
        <v>220</v>
      </c>
      <c r="I223" s="5">
        <v>14607000000000</v>
      </c>
      <c r="J223" s="5">
        <v>21672000000000</v>
      </c>
      <c r="K223" s="5">
        <v>22724000000000</v>
      </c>
      <c r="L223" s="5">
        <v>34446000000000</v>
      </c>
      <c r="M223" s="5">
        <v>19037000000000</v>
      </c>
    </row>
    <row r="224" spans="3:13" ht="15.5" x14ac:dyDescent="0.35">
      <c r="C224" t="s">
        <v>221</v>
      </c>
      <c r="I224" s="5">
        <v>14367000000000</v>
      </c>
      <c r="J224" s="5">
        <v>19364000000000</v>
      </c>
      <c r="K224" s="5">
        <v>9189000000000</v>
      </c>
      <c r="L224" s="5">
        <v>48886000000000</v>
      </c>
      <c r="M224" s="5">
        <v>15212000000000</v>
      </c>
    </row>
    <row r="225" spans="2:13" ht="15.5" x14ac:dyDescent="0.35">
      <c r="C225" t="s">
        <v>222</v>
      </c>
      <c r="I225" s="5">
        <v>-5415000000000</v>
      </c>
      <c r="J225" s="5">
        <v>-5979000000000</v>
      </c>
      <c r="K225" s="5">
        <v>-4184000000000</v>
      </c>
      <c r="L225" s="5">
        <v>-1847000000000</v>
      </c>
      <c r="M225" s="5">
        <v>-1095000000000</v>
      </c>
    </row>
    <row r="226" spans="2:13" ht="15.5" x14ac:dyDescent="0.35">
      <c r="C226" t="s">
        <v>13</v>
      </c>
      <c r="I226" s="5">
        <v>8951000000000</v>
      </c>
      <c r="J226" s="5">
        <v>13386000000000</v>
      </c>
      <c r="K226" s="5">
        <v>5005000000000</v>
      </c>
      <c r="L226" s="5">
        <v>47039000000000</v>
      </c>
      <c r="M226" s="5">
        <v>14117000000000</v>
      </c>
    </row>
    <row r="227" spans="2:13" ht="15.5" x14ac:dyDescent="0.35">
      <c r="C227" t="s">
        <v>15</v>
      </c>
      <c r="I227" s="6">
        <v>1149.53</v>
      </c>
      <c r="J227" s="6">
        <v>1718.98</v>
      </c>
      <c r="K227" s="6">
        <v>714.2</v>
      </c>
      <c r="L227" s="6">
        <v>6711.98</v>
      </c>
      <c r="M227" s="6">
        <v>2014.39</v>
      </c>
    </row>
    <row r="229" spans="2:13" ht="15.5" x14ac:dyDescent="0.35">
      <c r="B229" t="s">
        <v>223</v>
      </c>
      <c r="C229" t="s">
        <v>224</v>
      </c>
      <c r="D229" s="5">
        <v>2411000000000</v>
      </c>
      <c r="E229" s="5">
        <v>2881000000000</v>
      </c>
      <c r="F229" s="5">
        <v>2597000000000</v>
      </c>
      <c r="G229" s="5">
        <v>3841000000000</v>
      </c>
      <c r="H229" s="5">
        <v>9645000000000</v>
      </c>
      <c r="I229" s="5">
        <v>12526000000000</v>
      </c>
      <c r="J229" s="5">
        <v>19191000000000</v>
      </c>
      <c r="K229" s="5">
        <v>17448000000000</v>
      </c>
      <c r="L229" s="5">
        <v>30715000000000</v>
      </c>
      <c r="M229" s="5">
        <v>10475000000000</v>
      </c>
    </row>
    <row r="230" spans="2:13" ht="15.5" x14ac:dyDescent="0.35">
      <c r="C230" t="s">
        <v>225</v>
      </c>
      <c r="H230" s="5">
        <v>11737000000000</v>
      </c>
      <c r="I230" s="5">
        <v>12526000000000</v>
      </c>
      <c r="J230" s="5">
        <v>19191000000000</v>
      </c>
    </row>
    <row r="231" spans="2:13" ht="15.5" x14ac:dyDescent="0.35">
      <c r="C231" t="s">
        <v>226</v>
      </c>
      <c r="H231" s="6">
        <v>1001.4</v>
      </c>
      <c r="I231" s="6">
        <v>1001.4</v>
      </c>
    </row>
    <row r="232" spans="2:13" ht="15.5" x14ac:dyDescent="0.35">
      <c r="C232" t="s">
        <v>60</v>
      </c>
      <c r="H232" s="6">
        <v>0.80840000000000001</v>
      </c>
      <c r="I232" s="6">
        <v>0.28800000000000003</v>
      </c>
    </row>
    <row r="233" spans="2:13" ht="15.5" x14ac:dyDescent="0.35">
      <c r="C233" t="s">
        <v>227</v>
      </c>
      <c r="H233" s="6">
        <v>0.1158</v>
      </c>
      <c r="I233" s="6">
        <v>5.7699999999999994E-2</v>
      </c>
    </row>
    <row r="234" spans="2:13" ht="15.5" x14ac:dyDescent="0.35">
      <c r="C234" t="s">
        <v>42</v>
      </c>
      <c r="D234" s="6">
        <v>309.67</v>
      </c>
      <c r="E234" s="5">
        <v>370</v>
      </c>
      <c r="F234" s="6">
        <v>333.53</v>
      </c>
      <c r="G234" s="6">
        <v>493.27</v>
      </c>
      <c r="H234" s="6">
        <v>1238.68</v>
      </c>
      <c r="I234" s="6">
        <v>1608.59</v>
      </c>
      <c r="J234" s="6">
        <v>2464.5300000000002</v>
      </c>
      <c r="K234" s="6">
        <v>2240.71</v>
      </c>
      <c r="L234" s="6">
        <v>3944.44</v>
      </c>
      <c r="M234" s="6">
        <v>1345.24</v>
      </c>
    </row>
    <row r="235" spans="2:13" ht="15.5" x14ac:dyDescent="0.35">
      <c r="C235" t="s">
        <v>228</v>
      </c>
      <c r="H235" s="6">
        <v>1507.32</v>
      </c>
      <c r="I235" s="6">
        <v>1608.59</v>
      </c>
      <c r="J235" s="6">
        <v>2464.5300000000002</v>
      </c>
    </row>
    <row r="236" spans="2:13" ht="15.5" x14ac:dyDescent="0.35">
      <c r="C236" t="s">
        <v>62</v>
      </c>
      <c r="H236" s="6">
        <v>1001.4</v>
      </c>
      <c r="I236" s="6">
        <v>1001.4</v>
      </c>
    </row>
    <row r="237" spans="2:13" ht="15.5" x14ac:dyDescent="0.35">
      <c r="C237" t="s">
        <v>229</v>
      </c>
      <c r="H237" s="6">
        <v>0.80840000000000001</v>
      </c>
      <c r="I237" s="6">
        <v>0.28800000000000003</v>
      </c>
    </row>
    <row r="238" spans="2:13" ht="15.5" x14ac:dyDescent="0.35">
      <c r="C238" t="s">
        <v>230</v>
      </c>
      <c r="H238" s="6">
        <v>0.1158</v>
      </c>
      <c r="I238" s="6">
        <v>5.7699999999999994E-2</v>
      </c>
    </row>
    <row r="239" spans="2:13" ht="15.5" x14ac:dyDescent="0.35">
      <c r="C239" t="s">
        <v>231</v>
      </c>
      <c r="D239" s="5">
        <v>17603000000000</v>
      </c>
      <c r="E239" s="5">
        <v>21687000000000</v>
      </c>
      <c r="F239" s="5">
        <v>19802000000000</v>
      </c>
      <c r="G239" s="5">
        <v>20388000000000</v>
      </c>
      <c r="H239" s="5">
        <v>70413000000000</v>
      </c>
      <c r="I239" s="5">
        <v>80909000000000</v>
      </c>
      <c r="J239" s="5">
        <v>84315000000000</v>
      </c>
      <c r="K239" s="5">
        <v>90236000000000</v>
      </c>
      <c r="L239" s="5">
        <v>114931000000000</v>
      </c>
      <c r="M239" s="5">
        <v>55273000000000</v>
      </c>
    </row>
    <row r="240" spans="2:13" ht="15.5" x14ac:dyDescent="0.35">
      <c r="C240" t="s">
        <v>232</v>
      </c>
      <c r="H240" s="5">
        <v>79497000000000</v>
      </c>
      <c r="I240" s="5">
        <v>80909000000000</v>
      </c>
      <c r="J240" s="5">
        <v>84315000000000</v>
      </c>
    </row>
    <row r="241" spans="3:9" ht="15.5" x14ac:dyDescent="0.35">
      <c r="C241" t="s">
        <v>233</v>
      </c>
      <c r="H241" s="6">
        <v>1001.4</v>
      </c>
      <c r="I241" s="6">
        <v>1001.4</v>
      </c>
    </row>
    <row r="242" spans="3:9" ht="15.5" x14ac:dyDescent="0.35">
      <c r="C242" t="s">
        <v>234</v>
      </c>
      <c r="H242" s="6">
        <v>0.80840000000000001</v>
      </c>
      <c r="I242" s="6">
        <v>0.28800000000000003</v>
      </c>
    </row>
    <row r="243" spans="3:9" ht="15.5" x14ac:dyDescent="0.35">
      <c r="C243" t="s">
        <v>235</v>
      </c>
      <c r="H243" s="6">
        <v>0.1158</v>
      </c>
      <c r="I243" s="6">
        <v>5.7699999999999994E-2</v>
      </c>
    </row>
    <row r="244" spans="3:9" ht="15.5" x14ac:dyDescent="0.35">
      <c r="C244" t="s">
        <v>236</v>
      </c>
      <c r="I244" s="6">
        <v>6.98</v>
      </c>
    </row>
    <row r="245" spans="3:9" ht="15.5" x14ac:dyDescent="0.35">
      <c r="C245" t="s">
        <v>237</v>
      </c>
      <c r="I245" s="6">
        <v>5.74</v>
      </c>
    </row>
    <row r="246" spans="3:9" ht="15.5" x14ac:dyDescent="0.35">
      <c r="C246" t="s">
        <v>238</v>
      </c>
      <c r="I246" s="6">
        <v>3.98</v>
      </c>
    </row>
    <row r="247" spans="3:9" ht="15.5" x14ac:dyDescent="0.35">
      <c r="C247" t="s">
        <v>239</v>
      </c>
      <c r="I247" s="6">
        <v>7.41</v>
      </c>
    </row>
    <row r="248" spans="3:9" ht="15.5" x14ac:dyDescent="0.35">
      <c r="C248" t="s">
        <v>240</v>
      </c>
      <c r="I248" s="6">
        <v>0.17430000000000001</v>
      </c>
    </row>
    <row r="249" spans="3:9" ht="15.5" x14ac:dyDescent="0.35">
      <c r="C249" t="s">
        <v>241</v>
      </c>
      <c r="I249" s="6">
        <v>0.85</v>
      </c>
    </row>
    <row r="250" spans="3:9" ht="15.5" x14ac:dyDescent="0.35">
      <c r="C250" t="s">
        <v>242</v>
      </c>
      <c r="I250" s="6">
        <v>1.1399999999999999</v>
      </c>
    </row>
    <row r="251" spans="3:9" ht="15.5" x14ac:dyDescent="0.35">
      <c r="C251" t="s">
        <v>243</v>
      </c>
      <c r="I251" s="6">
        <v>6.93</v>
      </c>
    </row>
    <row r="252" spans="3:9" ht="15.5" x14ac:dyDescent="0.35">
      <c r="C252" t="s">
        <v>244</v>
      </c>
      <c r="I252" s="6">
        <v>15.8</v>
      </c>
    </row>
    <row r="253" spans="3:9" ht="15.5" x14ac:dyDescent="0.35">
      <c r="C253" t="s">
        <v>245</v>
      </c>
      <c r="I253" s="6">
        <v>4.45</v>
      </c>
    </row>
    <row r="254" spans="3:9" ht="15.5" x14ac:dyDescent="0.35">
      <c r="C254" t="s">
        <v>246</v>
      </c>
      <c r="I254" s="6">
        <v>3.95</v>
      </c>
    </row>
    <row r="255" spans="3:9" ht="15.5" x14ac:dyDescent="0.35">
      <c r="C255" t="s">
        <v>247</v>
      </c>
      <c r="I255" s="6">
        <v>-0.17</v>
      </c>
    </row>
    <row r="256" spans="3:9" ht="15.5" x14ac:dyDescent="0.35">
      <c r="C256" t="s">
        <v>248</v>
      </c>
      <c r="I256" s="6">
        <v>-0.2</v>
      </c>
    </row>
    <row r="257" spans="3:9" ht="15.5" x14ac:dyDescent="0.35">
      <c r="C257" t="s">
        <v>249</v>
      </c>
      <c r="I257" s="6">
        <v>1507.32</v>
      </c>
    </row>
    <row r="258" spans="3:9" ht="15.5" x14ac:dyDescent="0.35">
      <c r="C258" t="s">
        <v>250</v>
      </c>
      <c r="I258" s="6">
        <v>1238.68</v>
      </c>
    </row>
    <row r="259" spans="3:9" ht="15.5" x14ac:dyDescent="0.35">
      <c r="C259" t="s">
        <v>251</v>
      </c>
      <c r="I259" s="6">
        <v>10209.09</v>
      </c>
    </row>
    <row r="260" spans="3:9" ht="15.5" x14ac:dyDescent="0.35">
      <c r="C260" t="s">
        <v>252</v>
      </c>
      <c r="D260" s="6">
        <v>1996.23</v>
      </c>
    </row>
    <row r="261" spans="3:9" ht="15.5" x14ac:dyDescent="0.35">
      <c r="C261" t="s">
        <v>253</v>
      </c>
      <c r="I261" s="6">
        <v>7584.86</v>
      </c>
    </row>
    <row r="262" spans="3:9" ht="15.5" x14ac:dyDescent="0.35">
      <c r="C262" t="s">
        <v>254</v>
      </c>
      <c r="I262" s="6">
        <v>547.52</v>
      </c>
    </row>
    <row r="263" spans="3:9" ht="15.5" x14ac:dyDescent="0.35">
      <c r="C263" t="s">
        <v>255</v>
      </c>
      <c r="D263" s="6">
        <v>2.1</v>
      </c>
    </row>
    <row r="264" spans="3:9" ht="15.5" x14ac:dyDescent="0.35">
      <c r="C264" t="s">
        <v>256</v>
      </c>
      <c r="D264" s="6">
        <v>1.93</v>
      </c>
    </row>
    <row r="265" spans="3:9" ht="15.5" x14ac:dyDescent="0.35">
      <c r="C265" t="s">
        <v>257</v>
      </c>
      <c r="D265" s="6">
        <v>0.24</v>
      </c>
    </row>
    <row r="266" spans="3:9" ht="15.5" x14ac:dyDescent="0.35">
      <c r="C266" t="s">
        <v>258</v>
      </c>
      <c r="D266" s="6">
        <v>0.23</v>
      </c>
    </row>
    <row r="267" spans="3:9" ht="15.5" x14ac:dyDescent="0.35">
      <c r="C267" t="s">
        <v>259</v>
      </c>
      <c r="D267" s="6">
        <v>0.57999999999999996</v>
      </c>
    </row>
    <row r="268" spans="3:9" ht="15.5" x14ac:dyDescent="0.35">
      <c r="C268" t="s">
        <v>260</v>
      </c>
      <c r="D268" s="6">
        <v>0.15</v>
      </c>
    </row>
    <row r="269" spans="3:9" ht="15.5" x14ac:dyDescent="0.35">
      <c r="C269" t="s">
        <v>261</v>
      </c>
      <c r="D269" s="6">
        <v>1.66</v>
      </c>
    </row>
    <row r="270" spans="3:9" ht="15.5" x14ac:dyDescent="0.35">
      <c r="C270" t="s">
        <v>262</v>
      </c>
      <c r="I270" s="6">
        <v>20.65</v>
      </c>
    </row>
    <row r="271" spans="3:9" ht="15.5" x14ac:dyDescent="0.35">
      <c r="C271" t="s">
        <v>11</v>
      </c>
      <c r="D271" s="5">
        <v>-538000000000</v>
      </c>
    </row>
    <row r="272" spans="3:9" ht="15.5" x14ac:dyDescent="0.35">
      <c r="C272" t="s">
        <v>263</v>
      </c>
      <c r="I272" s="6">
        <v>4.53</v>
      </c>
    </row>
    <row r="273" spans="3:9" ht="15.5" x14ac:dyDescent="0.35">
      <c r="C273" t="s">
        <v>264</v>
      </c>
      <c r="I273" s="6">
        <v>0.11939999999999999</v>
      </c>
    </row>
    <row r="274" spans="3:9" ht="15.5" x14ac:dyDescent="0.35">
      <c r="C274" t="s">
        <v>265</v>
      </c>
      <c r="I274" s="6">
        <v>0.19870000000000002</v>
      </c>
    </row>
    <row r="275" spans="3:9" ht="15.5" x14ac:dyDescent="0.35">
      <c r="C275" t="s">
        <v>266</v>
      </c>
      <c r="I275" s="6">
        <v>0.19589999999999999</v>
      </c>
    </row>
    <row r="276" spans="3:9" ht="15.5" x14ac:dyDescent="0.35">
      <c r="C276" t="s">
        <v>267</v>
      </c>
      <c r="I276" s="6">
        <v>0.16570000000000001</v>
      </c>
    </row>
    <row r="277" spans="3:9" ht="15.5" x14ac:dyDescent="0.35">
      <c r="C277" t="s">
        <v>268</v>
      </c>
      <c r="D277" s="6">
        <v>42.81</v>
      </c>
    </row>
    <row r="278" spans="3:9" ht="15.5" x14ac:dyDescent="0.35">
      <c r="C278" t="s">
        <v>269</v>
      </c>
      <c r="D278" s="6">
        <v>12.99</v>
      </c>
    </row>
    <row r="279" spans="3:9" ht="15.5" x14ac:dyDescent="0.35">
      <c r="C279" t="s">
        <v>270</v>
      </c>
      <c r="D279" s="6">
        <v>54.99</v>
      </c>
    </row>
    <row r="280" spans="3:9" ht="15.5" x14ac:dyDescent="0.35">
      <c r="C280" t="s">
        <v>271</v>
      </c>
      <c r="D280" s="6">
        <v>0.81</v>
      </c>
    </row>
    <row r="281" spans="3:9" ht="15.5" x14ac:dyDescent="0.35">
      <c r="C281" t="s">
        <v>272</v>
      </c>
      <c r="D281" s="6">
        <v>2.13</v>
      </c>
    </row>
    <row r="282" spans="3:9" ht="15.5" x14ac:dyDescent="0.35">
      <c r="C282" t="s">
        <v>273</v>
      </c>
      <c r="I282" s="6">
        <v>0.82</v>
      </c>
    </row>
    <row r="283" spans="3:9" ht="15.5" x14ac:dyDescent="0.35">
      <c r="C283" t="s">
        <v>274</v>
      </c>
      <c r="I283" s="6">
        <v>31.72</v>
      </c>
    </row>
    <row r="284" spans="3:9" ht="15.5" x14ac:dyDescent="0.35">
      <c r="C284" t="s">
        <v>38</v>
      </c>
      <c r="I284" s="5">
        <v>67357000000000</v>
      </c>
    </row>
    <row r="285" spans="3:9" ht="15.5" x14ac:dyDescent="0.35">
      <c r="C285" t="s">
        <v>275</v>
      </c>
      <c r="I285" s="5">
        <v>71313000000000</v>
      </c>
    </row>
    <row r="286" spans="3:9" ht="15.5" x14ac:dyDescent="0.35">
      <c r="C286" t="s">
        <v>276</v>
      </c>
      <c r="I286" s="5">
        <v>7790000000</v>
      </c>
    </row>
    <row r="287" spans="3:9" ht="15.5" x14ac:dyDescent="0.35">
      <c r="C287" t="s">
        <v>277</v>
      </c>
      <c r="I287" s="6">
        <v>0.1925</v>
      </c>
    </row>
    <row r="288" spans="3:9" ht="15.5" x14ac:dyDescent="0.35">
      <c r="C288" t="s">
        <v>278</v>
      </c>
      <c r="D288" s="6">
        <v>0.24670000000000003</v>
      </c>
    </row>
    <row r="289" spans="3:9" ht="15.5" x14ac:dyDescent="0.35">
      <c r="C289" t="s">
        <v>279</v>
      </c>
      <c r="D289" s="6">
        <v>0.20269999999999999</v>
      </c>
    </row>
    <row r="290" spans="3:9" ht="15.5" x14ac:dyDescent="0.35">
      <c r="C290" t="s">
        <v>280</v>
      </c>
      <c r="D290" s="6">
        <v>0.13699999999999998</v>
      </c>
    </row>
    <row r="291" spans="3:9" ht="15.5" x14ac:dyDescent="0.35">
      <c r="C291" t="s">
        <v>281</v>
      </c>
      <c r="D291" s="6">
        <v>-7.5899999999999995E-2</v>
      </c>
    </row>
    <row r="292" spans="3:9" ht="15.5" x14ac:dyDescent="0.35">
      <c r="C292" t="s">
        <v>282</v>
      </c>
      <c r="D292" s="6">
        <v>-0.23600000000000002</v>
      </c>
    </row>
    <row r="293" spans="3:9" ht="15.5" x14ac:dyDescent="0.35">
      <c r="C293" t="s">
        <v>283</v>
      </c>
      <c r="D293" s="6">
        <v>-0.24789999999999998</v>
      </c>
    </row>
    <row r="294" spans="3:9" ht="15.5" x14ac:dyDescent="0.35">
      <c r="C294" t="s">
        <v>284</v>
      </c>
      <c r="I294" s="6">
        <v>463.32</v>
      </c>
    </row>
    <row r="295" spans="3:9" ht="15.5" x14ac:dyDescent="0.35">
      <c r="C295" t="s">
        <v>285</v>
      </c>
      <c r="I295" s="6">
        <v>1001.4</v>
      </c>
    </row>
    <row r="296" spans="3:9" ht="15.5" x14ac:dyDescent="0.35">
      <c r="C296" t="s">
        <v>286</v>
      </c>
      <c r="I296" s="6">
        <v>0.80840000000000001</v>
      </c>
    </row>
    <row r="297" spans="3:9" ht="15.5" x14ac:dyDescent="0.35">
      <c r="C297" t="s">
        <v>287</v>
      </c>
      <c r="I297" s="6">
        <v>0.1158</v>
      </c>
    </row>
    <row r="298" spans="3:9" ht="15.5" x14ac:dyDescent="0.35">
      <c r="C298" t="s">
        <v>288</v>
      </c>
      <c r="I298" t="s">
        <v>289</v>
      </c>
    </row>
    <row r="299" spans="3:9" ht="15.5" x14ac:dyDescent="0.35">
      <c r="C299" t="s">
        <v>290</v>
      </c>
      <c r="I299" s="5">
        <v>4</v>
      </c>
    </row>
    <row r="300" spans="3:9" ht="15.5" x14ac:dyDescent="0.35">
      <c r="C300" t="s">
        <v>291</v>
      </c>
      <c r="I300" s="6">
        <v>0.77</v>
      </c>
    </row>
    <row r="301" spans="3:9" ht="15.5" x14ac:dyDescent="0.35">
      <c r="C301" t="s">
        <v>292</v>
      </c>
      <c r="I301" s="6">
        <v>0.97</v>
      </c>
    </row>
    <row r="302" spans="3:9" ht="15.5" x14ac:dyDescent="0.35">
      <c r="C302" t="s">
        <v>293</v>
      </c>
      <c r="I302" s="6">
        <v>0.88</v>
      </c>
    </row>
    <row r="303" spans="3:9" ht="15.5" x14ac:dyDescent="0.35">
      <c r="C303" t="s">
        <v>294</v>
      </c>
      <c r="I303" s="6">
        <v>0.62</v>
      </c>
    </row>
    <row r="304" spans="3:9" ht="15.5" x14ac:dyDescent="0.35">
      <c r="C304" t="s">
        <v>295</v>
      </c>
      <c r="I304" s="6">
        <v>0.5</v>
      </c>
    </row>
    <row r="305" spans="3:9" ht="15.5" x14ac:dyDescent="0.35">
      <c r="C305" t="s">
        <v>296</v>
      </c>
      <c r="I305" s="6">
        <v>0.77</v>
      </c>
    </row>
    <row r="306" spans="3:9" ht="15.5" x14ac:dyDescent="0.35">
      <c r="C306" t="s">
        <v>297</v>
      </c>
      <c r="I306" s="5">
        <v>79497000000000</v>
      </c>
    </row>
    <row r="307" spans="3:9" ht="15.5" x14ac:dyDescent="0.35">
      <c r="C307" t="s">
        <v>298</v>
      </c>
      <c r="I307" s="5">
        <v>19448000000000</v>
      </c>
    </row>
    <row r="308" spans="3:9" ht="15.5" x14ac:dyDescent="0.35">
      <c r="C308" t="s">
        <v>299</v>
      </c>
      <c r="I308" s="5">
        <v>18043000000000</v>
      </c>
    </row>
    <row r="309" spans="3:9" ht="15.5" x14ac:dyDescent="0.35">
      <c r="C309" t="s">
        <v>300</v>
      </c>
      <c r="I309" s="5">
        <v>11737000000000</v>
      </c>
    </row>
    <row r="310" spans="3:9" ht="15.5" x14ac:dyDescent="0.35">
      <c r="C310" t="s">
        <v>301</v>
      </c>
      <c r="D310" s="5">
        <v>15544000000000</v>
      </c>
    </row>
    <row r="311" spans="3:9" ht="15.5" x14ac:dyDescent="0.35">
      <c r="C311" t="s">
        <v>302</v>
      </c>
      <c r="D311" s="5">
        <v>98263000000000</v>
      </c>
    </row>
    <row r="312" spans="3:9" ht="15.5" x14ac:dyDescent="0.35">
      <c r="C312" t="s">
        <v>303</v>
      </c>
      <c r="D312" s="5">
        <v>33986000000000</v>
      </c>
    </row>
    <row r="313" spans="3:9" ht="15.5" x14ac:dyDescent="0.35">
      <c r="C313" t="s">
        <v>208</v>
      </c>
      <c r="D313" s="5">
        <v>16071000000000</v>
      </c>
    </row>
    <row r="314" spans="3:9" ht="15.5" x14ac:dyDescent="0.35">
      <c r="C314" t="s">
        <v>207</v>
      </c>
      <c r="I314" s="5">
        <v>59063000000000</v>
      </c>
    </row>
    <row r="315" spans="3:9" ht="15.5" x14ac:dyDescent="0.35">
      <c r="C315" t="s">
        <v>206</v>
      </c>
      <c r="D315" s="5">
        <v>13427000000000</v>
      </c>
    </row>
    <row r="316" spans="3:9" ht="15.5" x14ac:dyDescent="0.35">
      <c r="C316" t="s">
        <v>205</v>
      </c>
      <c r="D316" s="5">
        <v>860000000000</v>
      </c>
    </row>
    <row r="317" spans="3:9" ht="15.5" x14ac:dyDescent="0.35">
      <c r="C317" t="s">
        <v>22</v>
      </c>
      <c r="D317" s="5">
        <v>14286000000000</v>
      </c>
    </row>
    <row r="318" spans="3:9" ht="15.5" x14ac:dyDescent="0.35">
      <c r="C318" t="s">
        <v>19</v>
      </c>
      <c r="D318" s="5">
        <v>-1258000000000</v>
      </c>
    </row>
    <row r="319" spans="3:9" ht="15.5" x14ac:dyDescent="0.35">
      <c r="C319" t="s">
        <v>304</v>
      </c>
      <c r="I319" s="5">
        <v>64277000000000</v>
      </c>
    </row>
    <row r="320" spans="3:9" ht="15.5" x14ac:dyDescent="0.35">
      <c r="C320" t="s">
        <v>305</v>
      </c>
      <c r="I320" s="5">
        <v>9725000000000</v>
      </c>
    </row>
    <row r="321" spans="3:9" ht="15.5" x14ac:dyDescent="0.35">
      <c r="C321" t="s">
        <v>306</v>
      </c>
      <c r="I321" s="5">
        <v>-6075000000000</v>
      </c>
    </row>
    <row r="322" spans="3:9" ht="15.5" x14ac:dyDescent="0.35">
      <c r="C322" t="s">
        <v>307</v>
      </c>
      <c r="I322" s="5">
        <v>-10994000000000</v>
      </c>
    </row>
    <row r="323" spans="3:9" ht="15.5" x14ac:dyDescent="0.35">
      <c r="C323" t="s">
        <v>308</v>
      </c>
      <c r="I323" s="5">
        <v>-5462000000000</v>
      </c>
    </row>
    <row r="324" spans="3:9" ht="15.5" x14ac:dyDescent="0.35">
      <c r="C324" t="s">
        <v>309</v>
      </c>
      <c r="I324" s="5">
        <v>4263000000000</v>
      </c>
    </row>
  </sheetData>
  <pageMargins left="0.7" right="0.7" top="0.75" bottom="0.75" header="0.3" footer="0.3"/>
  <ignoredErrors>
    <ignoredError sqref="A1:M1 A3:M325 A2:B2 D2:M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04"/>
  <sheetViews>
    <sheetView workbookViewId="0">
      <selection activeCell="C2" sqref="C2"/>
    </sheetView>
  </sheetViews>
  <sheetFormatPr defaultRowHeight="14.5" x14ac:dyDescent="0.35"/>
  <cols>
    <col min="1" max="1" width="38.83203125" customWidth="1"/>
    <col min="2" max="2" width="28.83203125" customWidth="1"/>
    <col min="3" max="3" width="32.83203125" customWidth="1"/>
    <col min="4" max="26" width="18.83203125" customWidth="1"/>
  </cols>
  <sheetData>
    <row r="1" spans="1:26" ht="15.5" x14ac:dyDescent="0.35">
      <c r="C1" t="s">
        <v>310</v>
      </c>
      <c r="D1" t="s">
        <v>1</v>
      </c>
      <c r="H1" t="s">
        <v>2</v>
      </c>
      <c r="I1" s="1">
        <v>46021.000138888892</v>
      </c>
      <c r="J1" s="1">
        <v>45656.000138888892</v>
      </c>
      <c r="K1" s="1">
        <v>45289.000138888892</v>
      </c>
      <c r="L1" s="1">
        <v>44925.000138888892</v>
      </c>
      <c r="M1" s="1">
        <v>44560.000138888892</v>
      </c>
      <c r="N1" s="1">
        <v>44195.000138888892</v>
      </c>
      <c r="O1" s="1">
        <v>43829.000138888892</v>
      </c>
      <c r="P1" s="1">
        <v>43462.000138888892</v>
      </c>
      <c r="Q1" s="1">
        <v>43098.000138888892</v>
      </c>
      <c r="R1" s="1">
        <v>42734.000138888892</v>
      </c>
      <c r="S1" s="1">
        <v>42368.000138888892</v>
      </c>
      <c r="T1" s="1">
        <v>42003.000138888892</v>
      </c>
      <c r="U1" s="1">
        <v>41638.000138888892</v>
      </c>
      <c r="V1" s="1">
        <v>41271.000138888892</v>
      </c>
      <c r="W1" s="1">
        <v>40907.000138888892</v>
      </c>
      <c r="X1" s="1">
        <v>40542.000138888892</v>
      </c>
      <c r="Y1" s="1">
        <v>40176.000138888892</v>
      </c>
      <c r="Z1" s="1">
        <v>39812.000138888892</v>
      </c>
    </row>
    <row r="2" spans="1:26" ht="15.5" x14ac:dyDescent="0.35">
      <c r="C2" t="e" vm="5">
        <v>#VALUE!</v>
      </c>
      <c r="D2" s="2" vm="6">
        <f ca="1">IFERROR(_xlfn.STOCKHISTORY("XIDX:" &amp; $C$1, D3, , 0, 0, 1), "Libur")</f>
        <v>8100</v>
      </c>
      <c r="H2" s="2">
        <f ca="1">_FV(C2,"Price")</f>
        <v>6175</v>
      </c>
      <c r="I2" s="2" vm="7">
        <f t="shared" ref="I2:Z2" ca="1" si="0">IFERROR(_xlfn.STOCKHISTORY("XIDX:" &amp; $C$1, I1, , 0, 0, 1), "Libur")</f>
        <v>7375</v>
      </c>
      <c r="J2" s="2" vm="8">
        <f t="shared" ca="1" si="0"/>
        <v>6200</v>
      </c>
      <c r="K2" s="2" vm="9">
        <f t="shared" ca="1" si="0"/>
        <v>7025</v>
      </c>
      <c r="L2" s="2" vm="10">
        <f t="shared" ca="1" si="0"/>
        <v>8025</v>
      </c>
      <c r="M2" s="2" vm="11">
        <f t="shared" ca="1" si="0"/>
        <v>9500</v>
      </c>
      <c r="N2" s="2" vm="12">
        <f t="shared" ca="1" si="0"/>
        <v>12325</v>
      </c>
      <c r="O2" s="2" vm="13">
        <f t="shared" ca="1" si="0"/>
        <v>14575</v>
      </c>
      <c r="P2" s="2" vm="14">
        <f t="shared" ca="1" si="0"/>
        <v>11825</v>
      </c>
      <c r="Q2" s="2" vm="15">
        <f t="shared" ca="1" si="0"/>
        <v>13150</v>
      </c>
      <c r="R2" s="2" vm="16">
        <f t="shared" ca="1" si="0"/>
        <v>16775</v>
      </c>
      <c r="S2" s="2" vm="17">
        <f t="shared" ca="1" si="0"/>
        <v>15102.688399999999</v>
      </c>
      <c r="T2" s="2" vm="18">
        <f t="shared" ca="1" si="0"/>
        <v>23106.6368</v>
      </c>
      <c r="U2" s="2" vm="19">
        <f t="shared" ca="1" si="0"/>
        <v>23916.560099999999</v>
      </c>
      <c r="V2" s="2" vm="20">
        <f t="shared" ca="1" si="0"/>
        <v>18771.164700000001</v>
      </c>
      <c r="W2" s="2" vm="21">
        <f t="shared" ca="1" si="0"/>
        <v>20676.866699999999</v>
      </c>
      <c r="X2" s="2" vm="22">
        <f t="shared" ca="1" si="0"/>
        <v>24964.696199999998</v>
      </c>
      <c r="Y2" s="2" vm="23">
        <f t="shared" ca="1" si="0"/>
        <v>21772.645400000001</v>
      </c>
      <c r="Z2" s="2" vm="24">
        <f t="shared" ca="1" si="0"/>
        <v>9337.9398000000001</v>
      </c>
    </row>
    <row r="3" spans="1:26" ht="15.5" x14ac:dyDescent="0.35">
      <c r="D3" s="1">
        <v>46142.000138888892</v>
      </c>
    </row>
    <row r="4" spans="1:26" ht="15.5" x14ac:dyDescent="0.35">
      <c r="B4" t="s">
        <v>3</v>
      </c>
      <c r="C4" t="s">
        <v>4</v>
      </c>
      <c r="D4" s="2">
        <f>IFERROR(INDEX(D51:D500,MATCH($C$4,$C$51:$C$500,0)),"")</f>
        <v>7501811000000</v>
      </c>
      <c r="H4" s="2">
        <f>IFERROR(SUM(D4:G4)*(4/MAX(1,COUNT(D4:G4))),"")</f>
        <v>30007244000000</v>
      </c>
      <c r="I4" s="2">
        <f t="shared" ref="I4:Z4" si="1">IFERROR(INDEX(I51:I500,MATCH($C$4,$C$51:$C$500,0)),"")</f>
        <v>28654648000000</v>
      </c>
      <c r="J4" s="2">
        <f t="shared" si="1"/>
        <v>21815035000000</v>
      </c>
      <c r="K4" s="2">
        <f t="shared" si="1"/>
        <v>20745473000000</v>
      </c>
      <c r="L4" s="2">
        <f t="shared" si="1"/>
        <v>21828591000000</v>
      </c>
      <c r="M4" s="2">
        <f t="shared" si="1"/>
        <v>24322048000000</v>
      </c>
      <c r="N4" s="2">
        <f t="shared" si="1"/>
        <v>18807043000000</v>
      </c>
      <c r="O4" s="2">
        <f t="shared" si="1"/>
        <v>17452736000000</v>
      </c>
      <c r="P4" s="2">
        <f t="shared" si="1"/>
        <v>19084387000000</v>
      </c>
      <c r="Q4" s="2">
        <f t="shared" si="1"/>
        <v>17305688000000</v>
      </c>
      <c r="R4" s="2">
        <f t="shared" si="1"/>
        <v>14121374000000</v>
      </c>
      <c r="S4" s="2">
        <f t="shared" si="1"/>
        <v>13059216000000</v>
      </c>
      <c r="T4" s="2">
        <f t="shared" si="1"/>
        <v>16305831000000</v>
      </c>
      <c r="U4" s="2">
        <f t="shared" si="1"/>
        <v>12674999000000</v>
      </c>
      <c r="V4" s="2">
        <f t="shared" si="1"/>
        <v>11564319000000</v>
      </c>
      <c r="W4" s="2">
        <f t="shared" si="1"/>
        <v>10772582000000</v>
      </c>
      <c r="X4" s="2">
        <f t="shared" si="1"/>
        <v>8843721000000</v>
      </c>
      <c r="Y4" s="2">
        <f t="shared" si="1"/>
        <v>7424283000000</v>
      </c>
      <c r="Z4" s="2">
        <f t="shared" si="1"/>
        <v>8161217000000</v>
      </c>
    </row>
    <row r="5" spans="1:26" ht="15.5" x14ac:dyDescent="0.35">
      <c r="B5" t="s">
        <v>5</v>
      </c>
      <c r="C5" t="s">
        <v>6</v>
      </c>
      <c r="D5" s="2">
        <f>IFERROR(INDEX(D51:D500,MATCH($C$5,$C$51:$C$500,0)),"")</f>
        <v>361243000000</v>
      </c>
      <c r="H5" s="2">
        <f>IFERROR(SUM(D5:G5)*(4/MAX(1,COUNT(D5:G5))),"")</f>
        <v>1444972000000</v>
      </c>
      <c r="I5" s="2">
        <f t="shared" ref="I5:Z5" si="2">IFERROR(INDEX(I51:I500,MATCH($C$5,$C$51:$C$500,0)),"")</f>
        <v>1505098000000</v>
      </c>
      <c r="J5" s="2">
        <f t="shared" si="2"/>
        <v>1105121000000</v>
      </c>
      <c r="K5" s="2">
        <f t="shared" si="2"/>
        <v>1103807000000</v>
      </c>
      <c r="L5" s="2">
        <f t="shared" si="2"/>
        <v>1919407000000</v>
      </c>
      <c r="M5" s="2">
        <f t="shared" si="2"/>
        <v>2357494000000</v>
      </c>
      <c r="N5" s="2">
        <f t="shared" si="2"/>
        <v>406486000000</v>
      </c>
      <c r="O5" s="2">
        <f t="shared" si="2"/>
        <v>-37346000000</v>
      </c>
      <c r="P5" s="2">
        <f t="shared" si="2"/>
        <v>1589141000000</v>
      </c>
      <c r="Q5" s="2">
        <f t="shared" si="2"/>
        <v>1961092000000</v>
      </c>
      <c r="R5" s="2">
        <f t="shared" si="2"/>
        <v>2070649000000</v>
      </c>
      <c r="S5" s="2">
        <f t="shared" si="2"/>
        <v>612292000000</v>
      </c>
      <c r="T5" s="2">
        <f t="shared" si="2"/>
        <v>2468076000000</v>
      </c>
      <c r="U5" s="2">
        <f t="shared" si="2"/>
        <v>1833891000000</v>
      </c>
      <c r="V5" s="2">
        <f t="shared" si="2"/>
        <v>2346203000000</v>
      </c>
      <c r="W5" s="2">
        <f t="shared" si="2"/>
        <v>2405564000000</v>
      </c>
      <c r="X5" s="2">
        <f t="shared" si="2"/>
        <v>0</v>
      </c>
      <c r="Y5" s="2">
        <f t="shared" si="2"/>
        <v>0</v>
      </c>
      <c r="Z5" s="2">
        <f t="shared" si="2"/>
        <v>0</v>
      </c>
    </row>
    <row r="6" spans="1:26" ht="15.5" x14ac:dyDescent="0.35">
      <c r="B6" t="s">
        <v>7</v>
      </c>
      <c r="C6" t="s">
        <v>8</v>
      </c>
      <c r="D6" s="2">
        <f>IFERROR(INDEX(D51:D500,MATCH($C$6,$C$51:$C$500,0)),"")</f>
        <v>24533517000000</v>
      </c>
      <c r="H6" s="2">
        <f>IFERROR(INDEX(D6:G6,COUNT(D6:G6)),"")</f>
        <v>24533517000000</v>
      </c>
      <c r="I6" s="2">
        <f t="shared" ref="I6:Z6" si="3">IFERROR(INDEX(I51:I500,MATCH($C$6,$C$51:$C$500,0)),"")</f>
        <v>24157634000000</v>
      </c>
      <c r="J6" s="2">
        <f t="shared" si="3"/>
        <v>23202062000000</v>
      </c>
      <c r="K6" s="2">
        <f t="shared" si="3"/>
        <v>22566006000000</v>
      </c>
      <c r="L6" s="2">
        <f t="shared" si="3"/>
        <v>22243221000000</v>
      </c>
      <c r="M6" s="2">
        <f t="shared" si="3"/>
        <v>21171173000000</v>
      </c>
      <c r="N6" s="2">
        <f t="shared" si="3"/>
        <v>19247794000000</v>
      </c>
      <c r="O6" s="2">
        <f t="shared" si="3"/>
        <v>18978527000000</v>
      </c>
      <c r="P6" s="2">
        <f t="shared" si="3"/>
        <v>19474522000000</v>
      </c>
      <c r="Q6" s="2">
        <f t="shared" si="3"/>
        <v>18536438000000</v>
      </c>
      <c r="R6" s="2">
        <f t="shared" si="3"/>
        <v>17593482000000</v>
      </c>
      <c r="S6" s="2">
        <f t="shared" si="3"/>
        <v>11698787000000</v>
      </c>
      <c r="T6" s="2">
        <f t="shared" si="3"/>
        <v>11837486000000</v>
      </c>
      <c r="U6" s="2">
        <f t="shared" si="3"/>
        <v>10267859000000</v>
      </c>
      <c r="V6" s="2">
        <f t="shared" si="3"/>
        <v>9365411000000</v>
      </c>
      <c r="W6" s="2">
        <f t="shared" si="3"/>
        <v>8426158000000</v>
      </c>
      <c r="X6" s="2">
        <f t="shared" si="3"/>
        <v>7457257000000</v>
      </c>
      <c r="Y6" s="2">
        <f t="shared" si="3"/>
        <v>6426616000000</v>
      </c>
      <c r="Z6" s="2">
        <f t="shared" si="3"/>
        <v>5336576000000</v>
      </c>
    </row>
    <row r="7" spans="1:26" ht="15.5" x14ac:dyDescent="0.35">
      <c r="B7" t="s">
        <v>9</v>
      </c>
      <c r="C7" t="s">
        <v>10</v>
      </c>
      <c r="D7" s="3">
        <f>IFERROR(INDEX(D51:D500,MATCH($C$7,$C$51:$C$500,0))/1000000000,"")</f>
        <v>1.92</v>
      </c>
      <c r="H7" s="3">
        <f>IFERROR(INDEX(D7:G7,COUNT(D7:G7)),"")</f>
        <v>1.92</v>
      </c>
      <c r="I7" s="3">
        <f t="shared" ref="I7:Z7" si="4">IFERROR(INDEX(I51:I500,MATCH($C$7,$C$51:$C$500,0))/1000000000,"")</f>
        <v>1.92</v>
      </c>
      <c r="J7" s="3">
        <f t="shared" si="4"/>
        <v>1.92</v>
      </c>
      <c r="K7" s="3">
        <f t="shared" si="4"/>
        <v>1.92</v>
      </c>
      <c r="L7" s="3">
        <f t="shared" si="4"/>
        <v>1.92</v>
      </c>
      <c r="M7" s="3">
        <f t="shared" si="4"/>
        <v>1.92</v>
      </c>
      <c r="N7" s="3">
        <f t="shared" si="4"/>
        <v>1.92</v>
      </c>
      <c r="O7" s="3">
        <f t="shared" si="4"/>
        <v>1.92</v>
      </c>
      <c r="P7" s="3">
        <f t="shared" si="4"/>
        <v>1.92</v>
      </c>
      <c r="Q7" s="3">
        <f t="shared" si="4"/>
        <v>1.92</v>
      </c>
      <c r="R7" s="3">
        <f t="shared" si="4"/>
        <v>1.92</v>
      </c>
      <c r="S7" s="3">
        <f t="shared" si="4"/>
        <v>1.57</v>
      </c>
      <c r="T7" s="3">
        <f t="shared" si="4"/>
        <v>1.57</v>
      </c>
      <c r="U7" s="3">
        <f t="shared" si="4"/>
        <v>1.57</v>
      </c>
      <c r="V7" s="3">
        <f t="shared" si="4"/>
        <v>1.57</v>
      </c>
      <c r="W7" s="3">
        <f t="shared" si="4"/>
        <v>1.57</v>
      </c>
      <c r="X7" s="3">
        <f t="shared" si="4"/>
        <v>1.57</v>
      </c>
      <c r="Y7" s="3">
        <f t="shared" si="4"/>
        <v>1.57</v>
      </c>
      <c r="Z7" s="3">
        <f t="shared" si="4"/>
        <v>1.57</v>
      </c>
    </row>
    <row r="8" spans="1:26" ht="15.5" x14ac:dyDescent="0.35">
      <c r="A8" t="s">
        <v>11</v>
      </c>
      <c r="B8" t="s">
        <v>12</v>
      </c>
      <c r="C8" t="s">
        <v>13</v>
      </c>
      <c r="D8" s="2">
        <f>IFERROR(INDEX(D51:D500,MATCH("Free cash flow (Quarter)",$C$51:$C$500,0)),"")</f>
        <v>1946000000000</v>
      </c>
      <c r="H8" s="2">
        <f>IFERROR(INDEX(D8:G8,COUNT(D8:G8)),"")</f>
        <v>1946000000000</v>
      </c>
      <c r="I8" s="2">
        <f t="shared" ref="I8:Z8" si="5">IFERROR(INDEX(I51:I500,MATCH($C$8,$C$51:$C$500,0)),"")</f>
        <v>3429000000000</v>
      </c>
      <c r="J8" s="2">
        <f t="shared" si="5"/>
        <v>2439000000000</v>
      </c>
      <c r="K8" s="2">
        <f t="shared" si="5"/>
        <v>1302000000000</v>
      </c>
      <c r="L8" s="2">
        <f t="shared" si="5"/>
        <v>456000000000</v>
      </c>
      <c r="M8" s="2">
        <f t="shared" si="5"/>
        <v>3666000000000</v>
      </c>
      <c r="N8" s="2">
        <f t="shared" si="5"/>
        <v>1352000000000</v>
      </c>
      <c r="O8" s="2">
        <f t="shared" si="5"/>
        <v>20000000000</v>
      </c>
      <c r="P8" s="2">
        <f t="shared" si="5"/>
        <v>468000000000</v>
      </c>
      <c r="Q8" s="2">
        <f t="shared" si="5"/>
        <v>1179000000000</v>
      </c>
      <c r="R8" s="2">
        <f t="shared" si="5"/>
        <v>162000000000</v>
      </c>
      <c r="S8" s="2">
        <f t="shared" si="5"/>
        <v>-2017000000000</v>
      </c>
      <c r="T8" s="2">
        <f t="shared" si="5"/>
        <v>-256000000000</v>
      </c>
      <c r="U8" s="2">
        <f t="shared" si="5"/>
        <v>295000000000</v>
      </c>
      <c r="V8" s="2">
        <f t="shared" si="5"/>
        <v>-21000000000</v>
      </c>
      <c r="W8" s="2">
        <f t="shared" si="5"/>
        <v>1130000000000</v>
      </c>
      <c r="X8" s="2">
        <f t="shared" si="5"/>
        <v>1411000000000</v>
      </c>
      <c r="Y8" s="2">
        <f t="shared" si="5"/>
        <v>701000000000</v>
      </c>
      <c r="Z8" s="2">
        <f t="shared" si="5"/>
        <v>808000000000</v>
      </c>
    </row>
    <row r="9" spans="1:26" ht="15.5" x14ac:dyDescent="0.35">
      <c r="A9" t="s">
        <v>14</v>
      </c>
      <c r="C9" t="s">
        <v>15</v>
      </c>
      <c r="D9" s="3">
        <f>IFERROR(INDEX(D51:D500,MATCH("Free cash flow per share (Quarter)",$C$51:$C$500,0)),"")</f>
        <v>1011.13</v>
      </c>
      <c r="H9" s="3">
        <f>IFERROR(INDEX(D9:G9,COUNT(D9:G9)),"")</f>
        <v>1011.13</v>
      </c>
      <c r="I9" s="3">
        <f t="shared" ref="I9:Z9" si="6">IFERROR(INDEX(I51:I500,MATCH($C$9,$C$51:$C$500,0)),"")</f>
        <v>1781.38</v>
      </c>
      <c r="J9" s="3">
        <f t="shared" si="6"/>
        <v>1267.01</v>
      </c>
      <c r="K9" s="3">
        <f t="shared" si="6"/>
        <v>676.68</v>
      </c>
      <c r="L9" s="3">
        <f t="shared" si="6"/>
        <v>236.9</v>
      </c>
      <c r="M9" s="3">
        <f t="shared" si="6"/>
        <v>1904.54</v>
      </c>
      <c r="N9" s="3">
        <f t="shared" si="6"/>
        <v>702.27</v>
      </c>
      <c r="O9" s="3">
        <f t="shared" si="6"/>
        <v>10.64</v>
      </c>
      <c r="P9" s="3">
        <f t="shared" si="6"/>
        <v>243.34</v>
      </c>
      <c r="Q9" s="3">
        <f t="shared" si="6"/>
        <v>612.64</v>
      </c>
      <c r="R9" s="3">
        <f t="shared" si="6"/>
        <v>84.12</v>
      </c>
      <c r="S9" s="3">
        <f t="shared" si="6"/>
        <v>-1280.6500000000001</v>
      </c>
      <c r="T9" s="3">
        <f t="shared" si="6"/>
        <v>-162.69999999999999</v>
      </c>
      <c r="U9" s="3">
        <f t="shared" si="6"/>
        <v>187.38</v>
      </c>
      <c r="V9" s="3">
        <f t="shared" si="6"/>
        <v>-13.36</v>
      </c>
      <c r="W9" s="3">
        <f t="shared" si="6"/>
        <v>717.5</v>
      </c>
      <c r="X9" s="3">
        <f t="shared" si="6"/>
        <v>895.73</v>
      </c>
      <c r="Y9" s="3">
        <f t="shared" si="6"/>
        <v>445.09</v>
      </c>
      <c r="Z9" s="3">
        <f t="shared" si="6"/>
        <v>513.11</v>
      </c>
    </row>
    <row r="10" spans="1:26" ht="15.5" x14ac:dyDescent="0.35">
      <c r="C10" t="s">
        <v>16</v>
      </c>
      <c r="D10" s="3">
        <f ca="1">IFERROR(IF(D9=0,"",D2/D9),"")</f>
        <v>8.0108393579460611</v>
      </c>
      <c r="I10" s="3">
        <f t="shared" ref="I10:Z10" ca="1" si="7">IFERROR(IF(I9=0,"",I2/I9),"")</f>
        <v>4.1400487262683985</v>
      </c>
      <c r="J10" s="3">
        <f t="shared" ca="1" si="7"/>
        <v>4.8934104703198873</v>
      </c>
      <c r="K10" s="3">
        <f t="shared" ca="1" si="7"/>
        <v>10.381568836082048</v>
      </c>
      <c r="L10" s="3">
        <f t="shared" ca="1" si="7"/>
        <v>33.875052764879698</v>
      </c>
      <c r="M10" s="3">
        <f t="shared" ca="1" si="7"/>
        <v>4.9880811114494836</v>
      </c>
      <c r="N10" s="3">
        <f t="shared" ca="1" si="7"/>
        <v>17.550229968530623</v>
      </c>
      <c r="O10" s="3">
        <f t="shared" ca="1" si="7"/>
        <v>1369.8308270676691</v>
      </c>
      <c r="P10" s="3">
        <f t="shared" ca="1" si="7"/>
        <v>48.594559053176624</v>
      </c>
      <c r="Q10" s="3">
        <f t="shared" ca="1" si="7"/>
        <v>21.464481587881956</v>
      </c>
      <c r="R10" s="3">
        <f t="shared" ca="1" si="7"/>
        <v>199.41749881122206</v>
      </c>
      <c r="S10" s="3">
        <f t="shared" ca="1" si="7"/>
        <v>-11.792986686448286</v>
      </c>
      <c r="T10" s="3">
        <f t="shared" ca="1" si="7"/>
        <v>-142.01989428395822</v>
      </c>
      <c r="U10" s="3">
        <f t="shared" ca="1" si="7"/>
        <v>127.63667467178995</v>
      </c>
      <c r="V10" s="3">
        <f t="shared" ca="1" si="7"/>
        <v>-1405.0272979041918</v>
      </c>
      <c r="W10" s="3">
        <f t="shared" ca="1" si="7"/>
        <v>28.817932682926827</v>
      </c>
      <c r="X10" s="3">
        <f t="shared" ca="1" si="7"/>
        <v>27.870782713540908</v>
      </c>
      <c r="Y10" s="3">
        <f t="shared" ca="1" si="7"/>
        <v>48.917399627041725</v>
      </c>
      <c r="Z10" s="3">
        <f t="shared" ca="1" si="7"/>
        <v>18.198709438521956</v>
      </c>
    </row>
    <row r="11" spans="1:26" ht="15.5" x14ac:dyDescent="0.35">
      <c r="B11" t="s">
        <v>17</v>
      </c>
      <c r="C11" t="s">
        <v>18</v>
      </c>
      <c r="D11" s="2">
        <f>IFERROR(INDEX(D51:D500,MATCH($C$11,$C$51:$C$500,0)),"")</f>
        <v>4703854000000</v>
      </c>
      <c r="H11" s="2">
        <f>IFERROR(INDEX(D11:G11,COUNT(D11:G11)),"")</f>
        <v>4703854000000</v>
      </c>
      <c r="I11" s="2">
        <f t="shared" ref="I11:Z11" si="8">IFERROR(INDEX(I51:I500,MATCH($C$11,$C$51:$C$500,0)),"")</f>
        <v>2755715000000</v>
      </c>
      <c r="J11" s="2">
        <f t="shared" si="8"/>
        <v>3236012000000</v>
      </c>
      <c r="K11" s="2">
        <f t="shared" si="8"/>
        <v>2089508000000</v>
      </c>
      <c r="L11" s="2">
        <f t="shared" si="8"/>
        <v>1619616000000</v>
      </c>
      <c r="M11" s="2">
        <f t="shared" si="8"/>
        <v>3896022000000</v>
      </c>
      <c r="N11" s="2">
        <f t="shared" si="8"/>
        <v>978892000000</v>
      </c>
      <c r="O11" s="2">
        <f t="shared" si="8"/>
        <v>383366000000</v>
      </c>
      <c r="P11" s="2">
        <f t="shared" si="8"/>
        <v>49082000000</v>
      </c>
      <c r="Q11" s="2">
        <f t="shared" si="8"/>
        <v>262292000000</v>
      </c>
      <c r="R11" s="2">
        <f t="shared" si="8"/>
        <v>531583000000</v>
      </c>
      <c r="S11" s="2">
        <f t="shared" si="8"/>
        <v>294441000000</v>
      </c>
      <c r="T11" s="2">
        <f t="shared" si="8"/>
        <v>611181000000</v>
      </c>
      <c r="U11" s="2">
        <f t="shared" si="8"/>
        <v>709090000000</v>
      </c>
      <c r="V11" s="2">
        <f t="shared" si="8"/>
        <v>227769000000</v>
      </c>
      <c r="W11" s="2">
        <f t="shared" si="8"/>
        <v>838190000000</v>
      </c>
      <c r="X11" s="2">
        <f t="shared" si="8"/>
        <v>1240781000000</v>
      </c>
      <c r="Y11" s="2">
        <f t="shared" si="8"/>
        <v>788549000000</v>
      </c>
      <c r="Z11" s="2">
        <f t="shared" si="8"/>
        <v>867676000000</v>
      </c>
    </row>
    <row r="12" spans="1:26" ht="15.5" x14ac:dyDescent="0.35">
      <c r="A12" t="s">
        <v>19</v>
      </c>
      <c r="B12" t="s">
        <v>20</v>
      </c>
      <c r="C12" t="s">
        <v>21</v>
      </c>
      <c r="D12" s="2">
        <f>IFERROR(INDEX(D51:D500,MATCH("Net Debt (Quarter)",$C$51:$C$500,0)),"")</f>
        <v>-4704000000000</v>
      </c>
      <c r="H12" s="2">
        <f>IFERROR(INDEX(D12:G12,COUNT(D12:G12)),"")</f>
        <v>-4704000000000</v>
      </c>
      <c r="I12" s="2">
        <f t="shared" ref="I12:Z12" si="9">IFERROR(INDEX(I51:I500,MATCH($C$12,$C$51:$C$500,0)),"")</f>
        <v>-2756000000000</v>
      </c>
      <c r="J12" s="2">
        <f t="shared" si="9"/>
        <v>-46000000000</v>
      </c>
      <c r="K12" s="2">
        <f t="shared" si="9"/>
        <v>1916000000000</v>
      </c>
      <c r="L12" s="2">
        <f t="shared" si="9"/>
        <v>2434000000000</v>
      </c>
      <c r="M12" s="2">
        <f t="shared" si="9"/>
        <v>1800000000000</v>
      </c>
      <c r="N12" s="2">
        <f t="shared" si="9"/>
        <v>4645000000000</v>
      </c>
      <c r="O12" s="2">
        <f t="shared" si="9"/>
        <v>5302000000000</v>
      </c>
      <c r="P12" s="2">
        <f t="shared" si="9"/>
        <v>4682000000000</v>
      </c>
      <c r="Q12" s="2">
        <f t="shared" si="9"/>
        <v>3707000000000</v>
      </c>
      <c r="R12" s="2">
        <f t="shared" si="9"/>
        <v>3569000000000</v>
      </c>
      <c r="S12" s="2">
        <f t="shared" si="9"/>
        <v>7438000000000</v>
      </c>
      <c r="T12" s="2">
        <f t="shared" si="9"/>
        <v>3816000000000</v>
      </c>
      <c r="U12" s="2">
        <f t="shared" si="9"/>
        <v>2014000000000</v>
      </c>
      <c r="V12" s="2">
        <f t="shared" si="9"/>
        <v>744000000000</v>
      </c>
      <c r="W12" s="2">
        <f t="shared" si="9"/>
        <v>-838000000000</v>
      </c>
      <c r="X12" s="2">
        <f t="shared" si="9"/>
        <v>-1241000000000</v>
      </c>
      <c r="Y12" s="2">
        <f t="shared" si="9"/>
        <v>-789000000000</v>
      </c>
      <c r="Z12" s="2">
        <f t="shared" si="9"/>
        <v>-868000000000</v>
      </c>
    </row>
    <row r="13" spans="1:26" ht="15.5" x14ac:dyDescent="0.35">
      <c r="A13" t="s">
        <v>22</v>
      </c>
      <c r="B13" t="s">
        <v>23</v>
      </c>
      <c r="C13" t="s">
        <v>24</v>
      </c>
      <c r="D13" s="2">
        <f>IFERROR(INDEX(D51:D500,MATCH("Total Debt (Quarter)",$C$51:$C$500,0)),"")</f>
        <v>0</v>
      </c>
      <c r="H13" s="2">
        <f>IFERROR(INDEX(D13:G13,COUNT(D13:G13)),"")</f>
        <v>0</v>
      </c>
      <c r="I13" s="2">
        <f t="shared" ref="I13:Z13" si="10">IFERROR(INDEX(I51:I500,MATCH($C$13,$C$51:$C$500,0)),"")</f>
        <v>0</v>
      </c>
      <c r="J13" s="2">
        <f t="shared" si="10"/>
        <v>3190000000000</v>
      </c>
      <c r="K13" s="2">
        <f t="shared" si="10"/>
        <v>4005000000000</v>
      </c>
      <c r="L13" s="2">
        <f t="shared" si="10"/>
        <v>4054000000000</v>
      </c>
      <c r="M13" s="2">
        <f t="shared" si="10"/>
        <v>5696000000000</v>
      </c>
      <c r="N13" s="2">
        <f t="shared" si="10"/>
        <v>5624000000000</v>
      </c>
      <c r="O13" s="2">
        <f t="shared" si="10"/>
        <v>5685000000000</v>
      </c>
      <c r="P13" s="2">
        <f t="shared" si="10"/>
        <v>4731000000000</v>
      </c>
      <c r="Q13" s="2">
        <f t="shared" si="10"/>
        <v>3969000000000</v>
      </c>
      <c r="R13" s="2">
        <f t="shared" si="10"/>
        <v>4101000000000</v>
      </c>
      <c r="S13" s="2">
        <f t="shared" si="10"/>
        <v>7733000000000</v>
      </c>
      <c r="T13" s="2">
        <f t="shared" si="10"/>
        <v>4427000000000</v>
      </c>
      <c r="U13" s="2">
        <f t="shared" si="10"/>
        <v>2723000000000</v>
      </c>
      <c r="V13" s="2">
        <f t="shared" si="10"/>
        <v>972000000000</v>
      </c>
      <c r="W13" s="2">
        <f t="shared" si="10"/>
        <v>0</v>
      </c>
      <c r="X13" s="2">
        <f t="shared" si="10"/>
        <v>0</v>
      </c>
      <c r="Y13" s="2">
        <f t="shared" si="10"/>
        <v>0</v>
      </c>
      <c r="Z13" s="2">
        <f t="shared" si="10"/>
        <v>0</v>
      </c>
    </row>
    <row r="14" spans="1:26" ht="15.5" x14ac:dyDescent="0.35">
      <c r="C14" t="s">
        <v>25</v>
      </c>
      <c r="D14" s="2">
        <f>IFERROR(INDEX(D51:D500,MATCH($C$14,$C$51:$C$500,0)),"")</f>
        <v>-878000000</v>
      </c>
      <c r="H14" s="2">
        <f>IFERROR(SUM(D14:G14)*(4/MAX(1,COUNT(D14:G14))),"")</f>
        <v>-3512000000</v>
      </c>
      <c r="I14" s="2">
        <f t="shared" ref="I14:Z14" si="11">IFERROR(INDEX(I51:I500,MATCH($C$14,$C$51:$C$500,0)),"")</f>
        <v>-139258000000</v>
      </c>
      <c r="J14" s="2">
        <f t="shared" si="11"/>
        <v>-264688000000</v>
      </c>
      <c r="K14" s="2">
        <f t="shared" si="11"/>
        <v>-268262000000</v>
      </c>
      <c r="L14" s="2">
        <f t="shared" si="11"/>
        <v>-366449000000</v>
      </c>
      <c r="M14" s="2">
        <f t="shared" si="11"/>
        <v>-394499000000</v>
      </c>
      <c r="N14" s="2">
        <f t="shared" si="11"/>
        <v>-418290000000</v>
      </c>
      <c r="O14" s="2">
        <f t="shared" si="11"/>
        <v>-350337000000</v>
      </c>
      <c r="P14" s="2">
        <f t="shared" si="11"/>
        <v>-225057000000</v>
      </c>
      <c r="Q14" s="2">
        <f t="shared" si="11"/>
        <v>-132446000000</v>
      </c>
      <c r="R14" s="2">
        <f t="shared" si="11"/>
        <v>-144873000000</v>
      </c>
      <c r="S14" s="2">
        <f t="shared" si="11"/>
        <v>-125509000000</v>
      </c>
      <c r="T14" s="2">
        <f t="shared" si="11"/>
        <v>-96080000000</v>
      </c>
      <c r="U14" s="2">
        <f t="shared" si="11"/>
        <v>-443782000000</v>
      </c>
      <c r="V14" s="2">
        <f t="shared" si="11"/>
        <v>-29196000000</v>
      </c>
      <c r="W14" s="2">
        <f t="shared" si="11"/>
        <v>-5806000000</v>
      </c>
      <c r="X14" s="2">
        <f t="shared" si="11"/>
        <v>-8258000000</v>
      </c>
      <c r="Y14" s="2">
        <f t="shared" si="11"/>
        <v>-30617000000</v>
      </c>
      <c r="Z14" s="2">
        <f t="shared" si="11"/>
        <v>-179000000</v>
      </c>
    </row>
    <row r="15" spans="1:26" ht="15.5" x14ac:dyDescent="0.35">
      <c r="C15" t="s">
        <v>26</v>
      </c>
      <c r="D15" s="2">
        <f>IFERROR(INDEX(D51:D500,MATCH($C$15,$C$51:$C$500,0)),"")</f>
        <v>-151604000000</v>
      </c>
      <c r="H15" s="2">
        <f>IFERROR(SUM(D15:G15)*(4/MAX(1,COUNT(D15:G15))),"")</f>
        <v>-606416000000</v>
      </c>
      <c r="I15" s="2">
        <f t="shared" ref="I15:Z15" si="12">IFERROR(INDEX(I51:I500,MATCH($C$15,$C$51:$C$500,0)),"")</f>
        <v>-689097000000</v>
      </c>
      <c r="J15" s="2">
        <f t="shared" si="12"/>
        <v>-520345000000</v>
      </c>
      <c r="K15" s="2">
        <f t="shared" si="12"/>
        <v>-410232000000</v>
      </c>
      <c r="L15" s="2">
        <f t="shared" si="12"/>
        <v>-637128000000</v>
      </c>
      <c r="M15" s="2">
        <f t="shared" si="12"/>
        <v>-845807000000</v>
      </c>
      <c r="N15" s="2">
        <f t="shared" si="12"/>
        <v>-568856000000</v>
      </c>
      <c r="O15" s="2">
        <f t="shared" si="12"/>
        <v>-417231000000</v>
      </c>
      <c r="P15" s="2">
        <f t="shared" si="12"/>
        <v>-686357000000</v>
      </c>
      <c r="Q15" s="2">
        <f t="shared" si="12"/>
        <v>-824876000000</v>
      </c>
      <c r="R15" s="2">
        <f t="shared" si="12"/>
        <v>-94479000000</v>
      </c>
      <c r="S15" s="2">
        <f t="shared" si="12"/>
        <v>-479829000000</v>
      </c>
      <c r="T15" s="2">
        <f t="shared" si="12"/>
        <v>-1068715000000</v>
      </c>
      <c r="U15" s="2">
        <f t="shared" si="12"/>
        <v>-701983000000</v>
      </c>
      <c r="V15" s="2">
        <f t="shared" si="12"/>
        <v>-1004627000000</v>
      </c>
      <c r="W15" s="2">
        <f t="shared" si="12"/>
        <v>-834367000000</v>
      </c>
      <c r="X15" s="2">
        <f t="shared" si="12"/>
        <v>-860388000000</v>
      </c>
      <c r="Y15" s="2">
        <f t="shared" si="12"/>
        <v>-770778000000</v>
      </c>
      <c r="Z15" s="2">
        <f t="shared" si="12"/>
        <v>-1233917000000</v>
      </c>
    </row>
    <row r="16" spans="1:26" ht="15.5" x14ac:dyDescent="0.35">
      <c r="C16" t="s">
        <v>27</v>
      </c>
      <c r="D16" s="2">
        <f>IFERROR(INDEX(D51:D500,MATCH($C$16,$C$51:$C$500,0)),"")</f>
        <v>540005000000</v>
      </c>
      <c r="H16" s="2">
        <f>IFERROR(SUM(D16:G16)*(4/MAX(1,COUNT(D16:G16))),"")</f>
        <v>2160020000000</v>
      </c>
      <c r="I16" s="2">
        <f t="shared" ref="I16:Z16" si="13">IFERROR(INDEX(I51:I500,MATCH($C$16,$C$51:$C$500,0)),"")</f>
        <v>2226728000000</v>
      </c>
      <c r="J16" s="2">
        <f t="shared" si="13"/>
        <v>1707128000000</v>
      </c>
      <c r="K16" s="2">
        <f t="shared" si="13"/>
        <v>1498402000000</v>
      </c>
      <c r="L16" s="2">
        <f t="shared" si="13"/>
        <v>2429178000000</v>
      </c>
      <c r="M16" s="2">
        <f t="shared" si="13"/>
        <v>2913169000000</v>
      </c>
      <c r="N16" s="2">
        <f t="shared" si="13"/>
        <v>1462635000000</v>
      </c>
      <c r="O16" s="2">
        <f t="shared" si="13"/>
        <v>660860000000</v>
      </c>
      <c r="P16" s="2">
        <f t="shared" si="13"/>
        <v>2207080000000</v>
      </c>
      <c r="Q16" s="2">
        <f t="shared" si="13"/>
        <v>2938505000000</v>
      </c>
      <c r="R16" s="2">
        <f t="shared" si="13"/>
        <v>2208778000000</v>
      </c>
      <c r="S16" s="2">
        <f t="shared" si="13"/>
        <v>1175513000000</v>
      </c>
      <c r="T16" s="2">
        <f t="shared" si="13"/>
        <v>3689990000000</v>
      </c>
      <c r="U16" s="2">
        <f t="shared" si="13"/>
        <v>2605071000000</v>
      </c>
      <c r="V16" s="2">
        <f t="shared" si="13"/>
        <v>3524893000000</v>
      </c>
      <c r="W16" s="2">
        <f t="shared" si="13"/>
        <v>3332932000000</v>
      </c>
      <c r="X16" s="2">
        <f t="shared" si="13"/>
        <v>2964040000000</v>
      </c>
      <c r="Y16" s="2">
        <f t="shared" si="13"/>
        <v>2500426000000</v>
      </c>
      <c r="Z16" s="2">
        <f t="shared" si="13"/>
        <v>3949435000000</v>
      </c>
    </row>
    <row r="17" spans="1:26" ht="15.5" x14ac:dyDescent="0.35">
      <c r="A17" t="s">
        <v>28</v>
      </c>
    </row>
    <row r="18" spans="1:26" ht="15.5" x14ac:dyDescent="0.35">
      <c r="A18" t="s">
        <v>29</v>
      </c>
      <c r="D18" t="s">
        <v>1</v>
      </c>
      <c r="H18" t="s">
        <v>2</v>
      </c>
      <c r="I18" t="s">
        <v>30</v>
      </c>
      <c r="J18" t="s">
        <v>31</v>
      </c>
      <c r="K18" t="s">
        <v>32</v>
      </c>
      <c r="L18" t="s">
        <v>33</v>
      </c>
      <c r="M18" t="s">
        <v>34</v>
      </c>
      <c r="N18" t="s">
        <v>311</v>
      </c>
      <c r="O18" t="s">
        <v>312</v>
      </c>
      <c r="P18" t="s">
        <v>313</v>
      </c>
      <c r="Q18" t="s">
        <v>314</v>
      </c>
      <c r="R18" t="s">
        <v>315</v>
      </c>
      <c r="S18" t="s">
        <v>316</v>
      </c>
      <c r="T18" t="s">
        <v>317</v>
      </c>
      <c r="U18" t="s">
        <v>318</v>
      </c>
      <c r="V18" t="s">
        <v>319</v>
      </c>
      <c r="W18" t="s">
        <v>320</v>
      </c>
      <c r="X18" t="s">
        <v>321</v>
      </c>
      <c r="Y18" t="s">
        <v>322</v>
      </c>
      <c r="Z18" t="s">
        <v>323</v>
      </c>
    </row>
    <row r="19" spans="1:26" ht="15.5" x14ac:dyDescent="0.35">
      <c r="A19" t="s">
        <v>35</v>
      </c>
      <c r="C19" t="s">
        <v>36</v>
      </c>
    </row>
    <row r="20" spans="1:26" ht="15.5" x14ac:dyDescent="0.35">
      <c r="A20" t="s">
        <v>37</v>
      </c>
      <c r="C20" t="s">
        <v>38</v>
      </c>
      <c r="D20" s="2">
        <f ca="1">IFERROR(D21*D2,"")</f>
        <v>15552000000000</v>
      </c>
      <c r="H20" s="2">
        <f t="shared" ref="H20:Z20" ca="1" si="14">IFERROR(H21*H2,"")</f>
        <v>11856000000000</v>
      </c>
      <c r="I20" s="2">
        <f t="shared" ca="1" si="14"/>
        <v>14160000000000</v>
      </c>
      <c r="J20" s="2">
        <f t="shared" ca="1" si="14"/>
        <v>11904000000000</v>
      </c>
      <c r="K20" s="2">
        <f t="shared" ca="1" si="14"/>
        <v>13488000000000</v>
      </c>
      <c r="L20" s="2">
        <f t="shared" ca="1" si="14"/>
        <v>15408000000000</v>
      </c>
      <c r="M20" s="2">
        <f t="shared" ca="1" si="14"/>
        <v>18240000000000</v>
      </c>
      <c r="N20" s="2">
        <f t="shared" ca="1" si="14"/>
        <v>23664000000000</v>
      </c>
      <c r="O20" s="2">
        <f t="shared" ca="1" si="14"/>
        <v>27984000000000</v>
      </c>
      <c r="P20" s="2">
        <f t="shared" ca="1" si="14"/>
        <v>22704000000000</v>
      </c>
      <c r="Q20" s="2">
        <f t="shared" ca="1" si="14"/>
        <v>25248000000000</v>
      </c>
      <c r="R20" s="2">
        <f t="shared" ca="1" si="14"/>
        <v>32208000000000</v>
      </c>
      <c r="S20" s="2">
        <f t="shared" ca="1" si="14"/>
        <v>23711220788000</v>
      </c>
      <c r="T20" s="2">
        <f t="shared" ca="1" si="14"/>
        <v>36277419776000</v>
      </c>
      <c r="U20" s="2">
        <f t="shared" ca="1" si="14"/>
        <v>37548999357000</v>
      </c>
      <c r="V20" s="2">
        <f t="shared" ca="1" si="14"/>
        <v>29470728579000</v>
      </c>
      <c r="W20" s="2">
        <f t="shared" ca="1" si="14"/>
        <v>32462680718999.996</v>
      </c>
      <c r="X20" s="2">
        <f t="shared" ca="1" si="14"/>
        <v>39194573034000</v>
      </c>
      <c r="Y20" s="2">
        <f t="shared" ca="1" si="14"/>
        <v>34183053278000.004</v>
      </c>
      <c r="Z20" s="2">
        <f t="shared" ca="1" si="14"/>
        <v>14660565486000</v>
      </c>
    </row>
    <row r="21" spans="1:26" ht="15.5" x14ac:dyDescent="0.35">
      <c r="C21" t="s">
        <v>10</v>
      </c>
      <c r="D21" s="2">
        <f>IFERROR(INDEX(D51:D500,MATCH($C$7,$C$51:$C$500,0)),"")</f>
        <v>1920000000</v>
      </c>
      <c r="H21" s="2">
        <f>IFERROR(INDEX(D21:G21,COUNT(D21:G21)),"")</f>
        <v>1920000000</v>
      </c>
      <c r="I21" s="2">
        <f t="shared" ref="I21:Z21" si="15">IFERROR(INDEX(I51:I500,MATCH($C$7,$C$51:$C$500,0)),"")</f>
        <v>1920000000</v>
      </c>
      <c r="J21" s="2">
        <f t="shared" si="15"/>
        <v>1920000000</v>
      </c>
      <c r="K21" s="2">
        <f t="shared" si="15"/>
        <v>1920000000</v>
      </c>
      <c r="L21" s="2">
        <f t="shared" si="15"/>
        <v>1920000000</v>
      </c>
      <c r="M21" s="2">
        <f t="shared" si="15"/>
        <v>1920000000</v>
      </c>
      <c r="N21" s="2">
        <f t="shared" si="15"/>
        <v>1920000000</v>
      </c>
      <c r="O21" s="2">
        <f t="shared" si="15"/>
        <v>1920000000</v>
      </c>
      <c r="P21" s="2">
        <f t="shared" si="15"/>
        <v>1920000000</v>
      </c>
      <c r="Q21" s="2">
        <f t="shared" si="15"/>
        <v>1920000000</v>
      </c>
      <c r="R21" s="2">
        <f t="shared" si="15"/>
        <v>1920000000</v>
      </c>
      <c r="S21" s="2">
        <f t="shared" si="15"/>
        <v>1570000000</v>
      </c>
      <c r="T21" s="2">
        <f t="shared" si="15"/>
        <v>1570000000</v>
      </c>
      <c r="U21" s="2">
        <f t="shared" si="15"/>
        <v>1570000000</v>
      </c>
      <c r="V21" s="2">
        <f t="shared" si="15"/>
        <v>1570000000</v>
      </c>
      <c r="W21" s="2">
        <f t="shared" si="15"/>
        <v>1570000000</v>
      </c>
      <c r="X21" s="2">
        <f t="shared" si="15"/>
        <v>1570000000</v>
      </c>
      <c r="Y21" s="2">
        <f t="shared" si="15"/>
        <v>1570000000</v>
      </c>
      <c r="Z21" s="2">
        <f t="shared" si="15"/>
        <v>1570000000</v>
      </c>
    </row>
    <row r="23" spans="1:26" ht="15.5" x14ac:dyDescent="0.35">
      <c r="B23" t="s">
        <v>39</v>
      </c>
      <c r="C23" t="s">
        <v>40</v>
      </c>
      <c r="D23" s="3">
        <f>IFERROR(D5/D6*100,"")</f>
        <v>1.4724468570894258</v>
      </c>
      <c r="H23" s="3">
        <f t="shared" ref="H23:Z23" si="16">IFERROR(H5/H6*100,"")</f>
        <v>5.8897874283577032</v>
      </c>
      <c r="I23" s="3">
        <f t="shared" si="16"/>
        <v>6.2303204030659618</v>
      </c>
      <c r="J23" s="3">
        <f t="shared" si="16"/>
        <v>4.7630292514518748</v>
      </c>
      <c r="K23" s="3">
        <f t="shared" si="16"/>
        <v>4.8914593038750409</v>
      </c>
      <c r="L23" s="3">
        <f t="shared" si="16"/>
        <v>8.6291774019599039</v>
      </c>
      <c r="M23" s="3">
        <f t="shared" si="16"/>
        <v>11.135396229580666</v>
      </c>
      <c r="N23" s="3">
        <f t="shared" si="16"/>
        <v>2.1118575978109488</v>
      </c>
      <c r="O23" s="3">
        <f t="shared" si="16"/>
        <v>-0.19678028753232535</v>
      </c>
      <c r="P23" s="3">
        <f t="shared" si="16"/>
        <v>8.1601027229320451</v>
      </c>
      <c r="Q23" s="3">
        <f t="shared" si="16"/>
        <v>10.579659371449898</v>
      </c>
      <c r="R23" s="3">
        <f t="shared" si="16"/>
        <v>11.769409830299653</v>
      </c>
      <c r="S23" s="3">
        <f t="shared" si="16"/>
        <v>5.233807573383463</v>
      </c>
      <c r="T23" s="3">
        <f t="shared" si="16"/>
        <v>20.849663518081456</v>
      </c>
      <c r="U23" s="3">
        <f t="shared" si="16"/>
        <v>17.860500421752967</v>
      </c>
      <c r="V23" s="3">
        <f t="shared" si="16"/>
        <v>25.05178897114072</v>
      </c>
      <c r="W23" s="3">
        <f t="shared" si="16"/>
        <v>28.548764454689788</v>
      </c>
      <c r="X23" s="3">
        <f t="shared" si="16"/>
        <v>0</v>
      </c>
      <c r="Y23" s="3">
        <f t="shared" si="16"/>
        <v>0</v>
      </c>
      <c r="Z23" s="3">
        <f t="shared" si="16"/>
        <v>0</v>
      </c>
    </row>
    <row r="24" spans="1:26" ht="15.5" x14ac:dyDescent="0.35">
      <c r="C24" t="s">
        <v>41</v>
      </c>
      <c r="D24" s="4">
        <f>IFERROR(_xlfn.RRI(5,I23,D23),"")</f>
        <v>-0.25061352681729021</v>
      </c>
      <c r="H24" s="4">
        <f t="shared" ref="H24:Z24" si="17">IFERROR(_xlfn.RRI(5,M23,H23),"")</f>
        <v>-0.11960252336946287</v>
      </c>
      <c r="I24" s="4">
        <f t="shared" si="17"/>
        <v>0.24156411083270468</v>
      </c>
      <c r="J24" s="4" t="str">
        <f t="shared" si="17"/>
        <v/>
      </c>
      <c r="K24" s="4">
        <f t="shared" si="17"/>
        <v>-9.7289355115477649E-2</v>
      </c>
      <c r="L24" s="4">
        <f t="shared" si="17"/>
        <v>-3.9937420489420061E-2</v>
      </c>
      <c r="M24" s="4">
        <f t="shared" si="17"/>
        <v>-1.1013876981902482E-2</v>
      </c>
      <c r="N24" s="4">
        <f t="shared" si="17"/>
        <v>-0.16599361441943861</v>
      </c>
      <c r="O24" s="4" t="str">
        <f t="shared" si="17"/>
        <v/>
      </c>
      <c r="P24" s="4">
        <f t="shared" si="17"/>
        <v>-0.14501124941281729</v>
      </c>
      <c r="Q24" s="4">
        <f t="shared" si="17"/>
        <v>-0.15835957287476432</v>
      </c>
      <c r="R24" s="4">
        <f t="shared" si="17"/>
        <v>-0.16240616192226687</v>
      </c>
      <c r="S24" s="4" t="str">
        <f t="shared" si="17"/>
        <v/>
      </c>
      <c r="T24" s="4" t="str">
        <f t="shared" si="17"/>
        <v/>
      </c>
      <c r="U24" s="4" t="str">
        <f t="shared" si="17"/>
        <v/>
      </c>
      <c r="V24" s="4" t="str">
        <f t="shared" si="17"/>
        <v/>
      </c>
      <c r="W24" s="4" t="str">
        <f t="shared" si="17"/>
        <v/>
      </c>
      <c r="X24" s="4">
        <f t="shared" si="17"/>
        <v>0</v>
      </c>
      <c r="Y24" s="4">
        <f t="shared" si="17"/>
        <v>0</v>
      </c>
      <c r="Z24" s="4">
        <f t="shared" si="17"/>
        <v>0</v>
      </c>
    </row>
    <row r="25" spans="1:26" ht="15.5" x14ac:dyDescent="0.35">
      <c r="A25" t="s">
        <v>42</v>
      </c>
      <c r="C25" t="s">
        <v>43</v>
      </c>
      <c r="D25" s="3">
        <f>IFERROR(INDEX(D51:D500,MATCH($A$25,$C$51:$C$500,0)),"")</f>
        <v>194.01</v>
      </c>
      <c r="H25" s="3">
        <f>IFERROR(INDEX(D25:G25,COUNT(D25:G25)),"")</f>
        <v>194.01</v>
      </c>
      <c r="I25" s="3">
        <f t="shared" ref="I25:Z25" si="18">IFERROR(INDEX(I51:I500,MATCH($C$25,$C$51:$C$500,0)),"")</f>
        <v>764.65</v>
      </c>
      <c r="J25" s="3">
        <f t="shared" si="18"/>
        <v>596.22</v>
      </c>
      <c r="K25" s="3">
        <f t="shared" si="18"/>
        <v>548.61</v>
      </c>
      <c r="L25" s="3">
        <f t="shared" si="18"/>
        <v>897.08</v>
      </c>
      <c r="M25" s="3">
        <f t="shared" si="18"/>
        <v>1024.25</v>
      </c>
      <c r="N25" s="3">
        <f t="shared" si="18"/>
        <v>432.84</v>
      </c>
      <c r="O25" s="3">
        <f t="shared" si="18"/>
        <v>109.69</v>
      </c>
      <c r="P25" s="3">
        <f t="shared" si="18"/>
        <v>747.4</v>
      </c>
      <c r="Q25" s="3">
        <f t="shared" si="18"/>
        <v>1044.5</v>
      </c>
      <c r="R25" s="3">
        <f t="shared" si="18"/>
        <v>1042.75</v>
      </c>
      <c r="S25" s="3">
        <f t="shared" si="18"/>
        <v>393.15</v>
      </c>
      <c r="T25" s="3">
        <f t="shared" si="18"/>
        <v>1589.91</v>
      </c>
      <c r="U25" s="3">
        <f t="shared" si="18"/>
        <v>1143.93</v>
      </c>
      <c r="V25" s="3">
        <f t="shared" si="18"/>
        <v>1530.57</v>
      </c>
      <c r="W25" s="3">
        <f t="shared" si="18"/>
        <v>1527.59</v>
      </c>
      <c r="X25" s="3">
        <f t="shared" si="18"/>
        <v>1335.87</v>
      </c>
      <c r="Y25" s="3">
        <f t="shared" si="18"/>
        <v>1098.3699999999999</v>
      </c>
      <c r="Z25" s="3">
        <f t="shared" si="18"/>
        <v>1724.42</v>
      </c>
    </row>
    <row r="26" spans="1:26" ht="15.5" x14ac:dyDescent="0.35">
      <c r="C26" t="s">
        <v>44</v>
      </c>
      <c r="D26" s="4">
        <f>IFERROR(_xlfn.RRI(5,I25,D25),"")</f>
        <v>-0.2398972836435338</v>
      </c>
      <c r="H26" s="4">
        <f t="shared" ref="H26:Z26" si="19">IFERROR(_xlfn.RRI(5,M25,H25),"")</f>
        <v>-0.28305865112462525</v>
      </c>
      <c r="I26" s="4">
        <f t="shared" si="19"/>
        <v>0.12053921746837615</v>
      </c>
      <c r="J26" s="4">
        <f t="shared" si="19"/>
        <v>0.4029684371893123</v>
      </c>
      <c r="K26" s="4">
        <f t="shared" si="19"/>
        <v>-5.9969109570831458E-2</v>
      </c>
      <c r="L26" s="4">
        <f t="shared" si="19"/>
        <v>-2.997138444502867E-2</v>
      </c>
      <c r="M26" s="4">
        <f t="shared" si="19"/>
        <v>-3.5737621866048785E-3</v>
      </c>
      <c r="N26" s="4">
        <f t="shared" si="19"/>
        <v>1.9421577184524308E-2</v>
      </c>
      <c r="O26" s="4">
        <f t="shared" si="19"/>
        <v>-0.41418714289307068</v>
      </c>
      <c r="P26" s="4">
        <f t="shared" si="19"/>
        <v>-8.1602424043964894E-2</v>
      </c>
      <c r="Q26" s="4">
        <f t="shared" si="19"/>
        <v>-7.3573328970155116E-2</v>
      </c>
      <c r="R26" s="4">
        <f t="shared" si="19"/>
        <v>-7.3522923133644502E-2</v>
      </c>
      <c r="S26" s="4">
        <f t="shared" si="19"/>
        <v>-0.21700531037861637</v>
      </c>
      <c r="T26" s="4">
        <f t="shared" si="19"/>
        <v>7.6774533694869085E-2</v>
      </c>
      <c r="U26" s="4">
        <f t="shared" si="19"/>
        <v>-7.8805620151891187E-2</v>
      </c>
      <c r="V26" s="4" t="str">
        <f t="shared" si="19"/>
        <v/>
      </c>
      <c r="W26" s="4" t="str">
        <f t="shared" si="19"/>
        <v/>
      </c>
      <c r="X26" s="4" t="str">
        <f t="shared" si="19"/>
        <v/>
      </c>
      <c r="Y26" s="4" t="str">
        <f t="shared" si="19"/>
        <v/>
      </c>
      <c r="Z26" s="4" t="str">
        <f t="shared" si="19"/>
        <v/>
      </c>
    </row>
    <row r="27" spans="1:26" ht="15.5" x14ac:dyDescent="0.35">
      <c r="C27" t="s">
        <v>45</v>
      </c>
      <c r="D27" s="3">
        <f>IFERROR(D4/D21,"")</f>
        <v>3907.1932291666667</v>
      </c>
      <c r="H27" s="3">
        <f t="shared" ref="H27:Z27" si="20">IFERROR(H4/H21,"")</f>
        <v>15628.772916666667</v>
      </c>
      <c r="I27" s="3">
        <f t="shared" si="20"/>
        <v>14924.295833333334</v>
      </c>
      <c r="J27" s="3">
        <f t="shared" si="20"/>
        <v>11361.997395833334</v>
      </c>
      <c r="K27" s="3">
        <f t="shared" si="20"/>
        <v>10804.933854166668</v>
      </c>
      <c r="L27" s="3">
        <f t="shared" si="20"/>
        <v>11369.057812499999</v>
      </c>
      <c r="M27" s="3">
        <f t="shared" si="20"/>
        <v>12667.733333333334</v>
      </c>
      <c r="N27" s="3">
        <f t="shared" si="20"/>
        <v>9795.3348958333336</v>
      </c>
      <c r="O27" s="3">
        <f t="shared" si="20"/>
        <v>9089.9666666666672</v>
      </c>
      <c r="P27" s="3">
        <f t="shared" si="20"/>
        <v>9939.7848958333325</v>
      </c>
      <c r="Q27" s="3">
        <f t="shared" si="20"/>
        <v>9013.3791666666675</v>
      </c>
      <c r="R27" s="3">
        <f t="shared" si="20"/>
        <v>7354.8822916666668</v>
      </c>
      <c r="S27" s="3">
        <f t="shared" si="20"/>
        <v>8317.9719745222937</v>
      </c>
      <c r="T27" s="3">
        <f t="shared" si="20"/>
        <v>10385.879617834395</v>
      </c>
      <c r="U27" s="3">
        <f t="shared" si="20"/>
        <v>8073.2477707006374</v>
      </c>
      <c r="V27" s="3">
        <f t="shared" si="20"/>
        <v>7365.8082802547769</v>
      </c>
      <c r="W27" s="3">
        <f t="shared" si="20"/>
        <v>6861.5171974522291</v>
      </c>
      <c r="X27" s="3">
        <f t="shared" si="20"/>
        <v>5632.943312101911</v>
      </c>
      <c r="Y27" s="3">
        <f t="shared" si="20"/>
        <v>4728.842675159236</v>
      </c>
      <c r="Z27" s="3">
        <f t="shared" si="20"/>
        <v>5198.2273885350314</v>
      </c>
    </row>
    <row r="28" spans="1:26" ht="15.5" x14ac:dyDescent="0.35">
      <c r="C28" t="s">
        <v>46</v>
      </c>
      <c r="D28" s="4">
        <f>IFERROR(_xlfn.RRI(5,I27,D27),"")</f>
        <v>-0.23511840977823495</v>
      </c>
      <c r="H28" s="4">
        <f t="shared" ref="H28:Z28" si="21">IFERROR(_xlfn.RRI(5,M27,H27),"")</f>
        <v>4.2906066436896984E-2</v>
      </c>
      <c r="I28" s="4">
        <f t="shared" si="21"/>
        <v>8.786476877550542E-2</v>
      </c>
      <c r="J28" s="4">
        <f t="shared" si="21"/>
        <v>4.5631068823268617E-2</v>
      </c>
      <c r="K28" s="4">
        <f t="shared" si="21"/>
        <v>1.6831578946672643E-2</v>
      </c>
      <c r="L28" s="4">
        <f t="shared" si="21"/>
        <v>4.7532164318641934E-2</v>
      </c>
      <c r="M28" s="4">
        <f t="shared" si="21"/>
        <v>0.11487104731688036</v>
      </c>
      <c r="N28" s="4">
        <f t="shared" si="21"/>
        <v>3.3237993124811904E-2</v>
      </c>
      <c r="O28" s="4">
        <f t="shared" si="21"/>
        <v>-2.6303068787397854E-2</v>
      </c>
      <c r="P28" s="4">
        <f t="shared" si="21"/>
        <v>4.2475221216327519E-2</v>
      </c>
      <c r="Q28" s="4">
        <f t="shared" si="21"/>
        <v>4.1198289692468082E-2</v>
      </c>
      <c r="R28" s="4">
        <f t="shared" si="21"/>
        <v>1.3984027827876222E-2</v>
      </c>
      <c r="S28" s="4">
        <f t="shared" si="21"/>
        <v>8.1076468849569094E-2</v>
      </c>
      <c r="T28" s="4">
        <f t="shared" si="21"/>
        <v>0.17040908372397423</v>
      </c>
      <c r="U28" s="4">
        <f t="shared" si="21"/>
        <v>9.2040139153662048E-2</v>
      </c>
      <c r="V28" s="4" t="str">
        <f t="shared" si="21"/>
        <v/>
      </c>
      <c r="W28" s="4" t="str">
        <f t="shared" si="21"/>
        <v/>
      </c>
      <c r="X28" s="4" t="str">
        <f t="shared" si="21"/>
        <v/>
      </c>
      <c r="Y28" s="4" t="str">
        <f t="shared" si="21"/>
        <v/>
      </c>
      <c r="Z28" s="4" t="str">
        <f t="shared" si="21"/>
        <v/>
      </c>
    </row>
    <row r="32" spans="1:26" ht="15.5" x14ac:dyDescent="0.35">
      <c r="A32" t="s">
        <v>47</v>
      </c>
      <c r="B32" t="s">
        <v>48</v>
      </c>
      <c r="C32" t="s">
        <v>49</v>
      </c>
      <c r="D32" s="3">
        <f>IFERROR(INDEX(D51:D500,MATCH($A$32,$C$51:$C$500,0)),"")</f>
        <v>12426.62</v>
      </c>
      <c r="H32" s="3">
        <f>IFERROR(INDEX(D32:G32,COUNT(D32:G32)),"")</f>
        <v>12426.62</v>
      </c>
      <c r="I32" s="3">
        <f t="shared" ref="I32:Z32" si="22">IFERROR(INDEX(I51:I500,MATCH($C$32,$C$51:$C$500,0)),"")</f>
        <v>12238.94</v>
      </c>
      <c r="J32" s="3">
        <f t="shared" si="22"/>
        <v>11763.94</v>
      </c>
      <c r="K32" s="3">
        <f t="shared" si="22"/>
        <v>11438.76</v>
      </c>
      <c r="L32" s="3">
        <f t="shared" si="22"/>
        <v>11266.26</v>
      </c>
      <c r="M32" s="3">
        <f t="shared" si="22"/>
        <v>10713</v>
      </c>
      <c r="N32" s="3">
        <f t="shared" si="22"/>
        <v>9743.1299999999992</v>
      </c>
      <c r="O32" s="3">
        <f t="shared" si="22"/>
        <v>9622.94</v>
      </c>
      <c r="P32" s="3">
        <f t="shared" si="22"/>
        <v>9866.34</v>
      </c>
      <c r="Q32" s="3">
        <f t="shared" si="22"/>
        <v>9386.43</v>
      </c>
      <c r="R32" s="3">
        <f t="shared" si="22"/>
        <v>8902.89</v>
      </c>
      <c r="S32" s="3">
        <f t="shared" si="22"/>
        <v>7166.12</v>
      </c>
      <c r="T32" s="3">
        <f t="shared" si="22"/>
        <v>7251.59</v>
      </c>
      <c r="U32" s="3">
        <f t="shared" si="22"/>
        <v>6283.3</v>
      </c>
      <c r="V32" s="3">
        <f t="shared" si="22"/>
        <v>5733.74</v>
      </c>
      <c r="W32" s="3">
        <f t="shared" si="22"/>
        <v>5168.8500000000004</v>
      </c>
      <c r="X32" s="3">
        <f t="shared" si="22"/>
        <v>4579.59</v>
      </c>
      <c r="Y32" s="3">
        <f t="shared" si="22"/>
        <v>3953.89</v>
      </c>
      <c r="Z32" s="3">
        <f t="shared" si="22"/>
        <v>3274.34</v>
      </c>
    </row>
    <row r="33" spans="1:26" ht="15.5" x14ac:dyDescent="0.35">
      <c r="A33" t="s">
        <v>50</v>
      </c>
      <c r="B33" t="s">
        <v>51</v>
      </c>
      <c r="C33" t="s">
        <v>52</v>
      </c>
      <c r="D33" s="3">
        <f>IFERROR(INDEX(D51:D500,MATCH($A$33,$C$51:$C$500,0)),"")</f>
        <v>0.61</v>
      </c>
      <c r="H33" s="3">
        <f>IFERROR(INDEX(D33:G33,COUNT(D33:G33)),"")</f>
        <v>0.61</v>
      </c>
      <c r="I33" s="3">
        <f t="shared" ref="I33:Z33" si="23">IFERROR(INDEX(I51:I500,MATCH($C$33,$C$51:$C$500,0)),"")</f>
        <v>0.6</v>
      </c>
      <c r="J33" s="3">
        <f t="shared" si="23"/>
        <v>0.53</v>
      </c>
      <c r="K33" s="3">
        <f t="shared" si="23"/>
        <v>0.61</v>
      </c>
      <c r="L33" s="3">
        <f t="shared" si="23"/>
        <v>0.71</v>
      </c>
      <c r="M33" s="3">
        <f t="shared" si="23"/>
        <v>0.89</v>
      </c>
      <c r="N33" s="3">
        <f t="shared" si="23"/>
        <v>1.26</v>
      </c>
      <c r="O33" s="3">
        <f t="shared" si="23"/>
        <v>1.51</v>
      </c>
      <c r="P33" s="3">
        <f t="shared" si="23"/>
        <v>1.2</v>
      </c>
      <c r="Q33" s="3">
        <f t="shared" si="23"/>
        <v>1.4</v>
      </c>
      <c r="R33" s="3">
        <f t="shared" si="23"/>
        <v>1.88</v>
      </c>
      <c r="S33" s="3">
        <f t="shared" si="23"/>
        <v>2.58</v>
      </c>
      <c r="T33" s="3">
        <f t="shared" si="23"/>
        <v>3.89</v>
      </c>
      <c r="U33" s="3">
        <f t="shared" si="23"/>
        <v>4.6500000000000004</v>
      </c>
      <c r="V33" s="3">
        <f t="shared" si="23"/>
        <v>4</v>
      </c>
      <c r="W33" s="3">
        <f t="shared" si="23"/>
        <v>4.8899999999999997</v>
      </c>
      <c r="X33" s="3">
        <f t="shared" si="23"/>
        <v>6.66</v>
      </c>
      <c r="Y33" s="3">
        <f t="shared" si="23"/>
        <v>6.7</v>
      </c>
      <c r="Z33" s="3">
        <f t="shared" si="23"/>
        <v>3.48</v>
      </c>
    </row>
    <row r="34" spans="1:26" ht="15.5" x14ac:dyDescent="0.35">
      <c r="A34" t="s">
        <v>53</v>
      </c>
      <c r="B34" t="s">
        <v>54</v>
      </c>
      <c r="C34" t="s">
        <v>55</v>
      </c>
      <c r="D34" s="3">
        <f>IFERROR(INDEX(D51:D500,MATCH($A$34,$C$51:$C$500,0)),"")</f>
        <v>38.92</v>
      </c>
      <c r="H34" s="3">
        <f>IFERROR(INDEX(D34:G34,COUNT(D34:G34)),"")</f>
        <v>38.92</v>
      </c>
      <c r="I34" s="3">
        <f t="shared" ref="I34:Z34" si="24">IFERROR(INDEX(I51:I500,MATCH($C$34,$C$51:$C$500,0)),"")</f>
        <v>9.64</v>
      </c>
      <c r="J34" s="3">
        <f t="shared" si="24"/>
        <v>10.4</v>
      </c>
      <c r="K34" s="3">
        <f t="shared" si="24"/>
        <v>12.81</v>
      </c>
      <c r="L34" s="3">
        <f t="shared" si="24"/>
        <v>8.9499999999999993</v>
      </c>
      <c r="M34" s="3">
        <f t="shared" si="24"/>
        <v>9.2799999999999994</v>
      </c>
      <c r="N34" s="3">
        <f t="shared" si="24"/>
        <v>28.47</v>
      </c>
      <c r="O34" s="3">
        <f t="shared" si="24"/>
        <v>132.87</v>
      </c>
      <c r="P34" s="3">
        <f t="shared" si="24"/>
        <v>15.82</v>
      </c>
      <c r="Q34" s="3">
        <f t="shared" si="24"/>
        <v>12.59</v>
      </c>
      <c r="R34" s="3">
        <f t="shared" si="24"/>
        <v>16.09</v>
      </c>
      <c r="S34" s="3">
        <f t="shared" si="24"/>
        <v>46.94</v>
      </c>
      <c r="T34" s="3">
        <f t="shared" si="24"/>
        <v>17.760000000000002</v>
      </c>
      <c r="U34" s="3">
        <f t="shared" si="24"/>
        <v>25.55</v>
      </c>
      <c r="V34" s="3">
        <f t="shared" si="24"/>
        <v>14.99</v>
      </c>
      <c r="W34" s="3">
        <f t="shared" si="24"/>
        <v>16.54</v>
      </c>
      <c r="X34" s="3">
        <f t="shared" si="24"/>
        <v>22.84</v>
      </c>
      <c r="Y34" s="3">
        <f t="shared" si="24"/>
        <v>24.12</v>
      </c>
      <c r="Z34" s="3">
        <f t="shared" si="24"/>
        <v>6.62</v>
      </c>
    </row>
    <row r="35" spans="1:26" ht="15.5" x14ac:dyDescent="0.35">
      <c r="A35" t="s">
        <v>56</v>
      </c>
      <c r="B35" t="s">
        <v>57</v>
      </c>
      <c r="C35" t="s">
        <v>58</v>
      </c>
      <c r="D35" s="3">
        <f>IFERROR(INDEX(D51:D500,MATCH($A$35,$C$51:$C$500,0)),"")</f>
        <v>1.94</v>
      </c>
      <c r="H35" s="3">
        <f>IFERROR(INDEX(D35:G35,COUNT(D35:G35)),"")</f>
        <v>1.94</v>
      </c>
      <c r="I35" s="3">
        <f t="shared" ref="I35:Z35" si="25">IFERROR(INDEX(I51:I500,MATCH($C$35,$C$51:$C$500,0)),"")</f>
        <v>0.5</v>
      </c>
      <c r="J35" s="3">
        <f t="shared" si="25"/>
        <v>0.55000000000000004</v>
      </c>
      <c r="K35" s="3">
        <f t="shared" si="25"/>
        <v>0.65</v>
      </c>
      <c r="L35" s="3">
        <f t="shared" si="25"/>
        <v>0.71</v>
      </c>
      <c r="M35" s="3">
        <f t="shared" si="25"/>
        <v>0.75</v>
      </c>
      <c r="N35" s="3">
        <f t="shared" si="25"/>
        <v>1.26</v>
      </c>
      <c r="O35" s="3">
        <f t="shared" si="25"/>
        <v>1.61</v>
      </c>
      <c r="P35" s="3">
        <f t="shared" si="25"/>
        <v>1.19</v>
      </c>
      <c r="Q35" s="3">
        <f t="shared" si="25"/>
        <v>1.46</v>
      </c>
      <c r="R35" s="3">
        <f t="shared" si="25"/>
        <v>2.29</v>
      </c>
      <c r="S35" s="3">
        <f t="shared" si="25"/>
        <v>2.23</v>
      </c>
      <c r="T35" s="3">
        <f t="shared" si="25"/>
        <v>2.73</v>
      </c>
      <c r="U35" s="3">
        <f t="shared" si="25"/>
        <v>3.63</v>
      </c>
      <c r="V35" s="3">
        <f t="shared" si="25"/>
        <v>3.12</v>
      </c>
      <c r="W35" s="3">
        <f t="shared" si="25"/>
        <v>3.69</v>
      </c>
      <c r="X35" s="3">
        <f t="shared" si="25"/>
        <v>5.43</v>
      </c>
      <c r="Y35" s="3">
        <f t="shared" si="25"/>
        <v>5.62</v>
      </c>
      <c r="Z35" s="3">
        <f t="shared" si="25"/>
        <v>2.2000000000000002</v>
      </c>
    </row>
    <row r="36" spans="1:26" ht="15.5" x14ac:dyDescent="0.35">
      <c r="B36" t="s">
        <v>59</v>
      </c>
      <c r="C36" t="s">
        <v>60</v>
      </c>
      <c r="D36" s="4">
        <f>IFERROR(INDEX(D51:D500,MATCH($C$36,$C$51:$C$500,0)),"")</f>
        <v>0</v>
      </c>
      <c r="H36" s="4">
        <f t="shared" ref="H36:Z36" si="26">IFERROR(INDEX(H51:H500,MATCH($C$36,$C$51:$C$500,0)),"")</f>
        <v>0.59020000000000006</v>
      </c>
      <c r="I36" s="4">
        <f t="shared" si="26"/>
        <v>0.59899999999999998</v>
      </c>
      <c r="J36" s="4">
        <f t="shared" si="26"/>
        <v>0.44950000000000001</v>
      </c>
      <c r="K36" s="4">
        <f t="shared" si="26"/>
        <v>0.45020000000000004</v>
      </c>
      <c r="L36" s="4">
        <f t="shared" si="26"/>
        <v>0.45030000000000003</v>
      </c>
      <c r="M36" s="4">
        <f t="shared" si="26"/>
        <v>0.4501</v>
      </c>
      <c r="N36" s="4">
        <f t="shared" si="26"/>
        <v>0.45049999999999996</v>
      </c>
      <c r="O36" s="4">
        <f t="shared" si="26"/>
        <v>0.44670000000000004</v>
      </c>
      <c r="P36" s="4">
        <f t="shared" si="26"/>
        <v>0.4496</v>
      </c>
      <c r="Q36" s="4">
        <f t="shared" si="26"/>
        <v>0.45</v>
      </c>
      <c r="R36" s="4">
        <f t="shared" si="26"/>
        <v>0</v>
      </c>
      <c r="S36" s="4">
        <f t="shared" si="26"/>
        <v>0</v>
      </c>
      <c r="T36" s="4">
        <f t="shared" si="26"/>
        <v>0</v>
      </c>
      <c r="U36" s="4">
        <f t="shared" si="26"/>
        <v>0</v>
      </c>
      <c r="V36" s="4">
        <f t="shared" si="26"/>
        <v>0</v>
      </c>
      <c r="W36" s="4">
        <f t="shared" si="26"/>
        <v>0</v>
      </c>
      <c r="X36" s="4">
        <f t="shared" si="26"/>
        <v>0</v>
      </c>
      <c r="Y36" s="4">
        <f t="shared" si="26"/>
        <v>0</v>
      </c>
      <c r="Z36" s="4">
        <f t="shared" si="26"/>
        <v>0</v>
      </c>
    </row>
    <row r="37" spans="1:26" ht="15.5" x14ac:dyDescent="0.35">
      <c r="B37" t="s">
        <v>61</v>
      </c>
      <c r="C37" t="s">
        <v>62</v>
      </c>
      <c r="D37" s="3">
        <f>IFERROR(INDEX(D51:D500,MATCH($C$37,$C$51:$C$500,0)),"")</f>
        <v>0</v>
      </c>
      <c r="H37" s="3">
        <f t="shared" ref="H37:Z37" si="27">IFERROR(INDEX(H51:H500,MATCH($C$37,$C$51:$C$500,0)),"")</f>
        <v>458</v>
      </c>
      <c r="I37" s="3">
        <f t="shared" si="27"/>
        <v>458</v>
      </c>
      <c r="J37" s="3">
        <f t="shared" si="27"/>
        <v>268</v>
      </c>
      <c r="K37" s="3">
        <f t="shared" si="27"/>
        <v>247</v>
      </c>
      <c r="L37" s="3">
        <f t="shared" si="27"/>
        <v>404</v>
      </c>
      <c r="M37" s="3">
        <f t="shared" si="27"/>
        <v>461</v>
      </c>
      <c r="N37" s="3">
        <f t="shared" si="27"/>
        <v>195</v>
      </c>
      <c r="O37" s="3">
        <f t="shared" si="27"/>
        <v>49</v>
      </c>
      <c r="P37" s="3">
        <f t="shared" si="27"/>
        <v>336</v>
      </c>
      <c r="Q37" s="3">
        <f t="shared" si="27"/>
        <v>470</v>
      </c>
      <c r="R37" s="3">
        <f t="shared" si="27"/>
        <v>0</v>
      </c>
      <c r="S37" s="3">
        <f t="shared" si="27"/>
        <v>0</v>
      </c>
      <c r="T37" s="3">
        <f t="shared" si="27"/>
        <v>0</v>
      </c>
      <c r="U37" s="3">
        <f t="shared" si="27"/>
        <v>0</v>
      </c>
      <c r="V37" s="3">
        <f t="shared" si="27"/>
        <v>0</v>
      </c>
      <c r="W37" s="3">
        <f t="shared" si="27"/>
        <v>0</v>
      </c>
      <c r="X37" s="3">
        <f t="shared" si="27"/>
        <v>0</v>
      </c>
      <c r="Y37" s="3">
        <f t="shared" si="27"/>
        <v>0</v>
      </c>
      <c r="Z37" s="3">
        <f t="shared" si="27"/>
        <v>0</v>
      </c>
    </row>
    <row r="50" spans="2:26" ht="15.5" x14ac:dyDescent="0.35">
      <c r="D50" t="s">
        <v>63</v>
      </c>
      <c r="E50" t="s">
        <v>64</v>
      </c>
      <c r="F50" t="s">
        <v>65</v>
      </c>
      <c r="G50" t="s">
        <v>66</v>
      </c>
      <c r="H50" t="s">
        <v>67</v>
      </c>
      <c r="I50" t="s">
        <v>30</v>
      </c>
      <c r="J50" t="s">
        <v>31</v>
      </c>
      <c r="K50" t="s">
        <v>32</v>
      </c>
      <c r="L50" t="s">
        <v>33</v>
      </c>
      <c r="M50" t="s">
        <v>34</v>
      </c>
      <c r="N50" t="s">
        <v>311</v>
      </c>
      <c r="O50" t="s">
        <v>312</v>
      </c>
      <c r="P50" t="s">
        <v>313</v>
      </c>
      <c r="Q50" t="s">
        <v>314</v>
      </c>
      <c r="R50" t="s">
        <v>315</v>
      </c>
      <c r="S50" t="s">
        <v>316</v>
      </c>
      <c r="T50" t="s">
        <v>317</v>
      </c>
      <c r="U50" t="s">
        <v>318</v>
      </c>
      <c r="V50" t="s">
        <v>319</v>
      </c>
      <c r="W50" t="s">
        <v>320</v>
      </c>
      <c r="X50" t="s">
        <v>321</v>
      </c>
      <c r="Y50" t="s">
        <v>322</v>
      </c>
      <c r="Z50" t="s">
        <v>323</v>
      </c>
    </row>
    <row r="51" spans="2:26" ht="15.5" x14ac:dyDescent="0.35">
      <c r="B51" t="s">
        <v>68</v>
      </c>
      <c r="C51" t="s">
        <v>4</v>
      </c>
      <c r="D51" s="5">
        <v>7501811000000</v>
      </c>
      <c r="E51" s="5">
        <v>6535932000000</v>
      </c>
      <c r="F51" s="5">
        <v>7671927000000</v>
      </c>
      <c r="G51" s="5">
        <v>7422828000000</v>
      </c>
      <c r="I51" s="5">
        <v>28654648000000</v>
      </c>
      <c r="J51" s="5">
        <v>21815035000000</v>
      </c>
      <c r="K51" s="5">
        <v>20745473000000</v>
      </c>
      <c r="L51" s="5">
        <v>21828591000000</v>
      </c>
      <c r="M51" s="5">
        <v>24322048000000</v>
      </c>
      <c r="N51" s="5">
        <v>18807043000000</v>
      </c>
      <c r="O51" s="5">
        <v>17452736000000</v>
      </c>
      <c r="P51" s="5">
        <v>19084387000000</v>
      </c>
      <c r="Q51" s="5">
        <v>17305688000000</v>
      </c>
      <c r="R51" s="5">
        <v>14121374000000</v>
      </c>
      <c r="S51" s="5">
        <v>13059216000000</v>
      </c>
      <c r="T51" s="5">
        <v>16305831000000</v>
      </c>
      <c r="U51" s="5">
        <v>12674999000000</v>
      </c>
      <c r="V51" s="5">
        <v>11564319000000</v>
      </c>
      <c r="W51" s="5">
        <v>10772582000000</v>
      </c>
      <c r="X51" s="5">
        <v>8843721000000</v>
      </c>
      <c r="Y51" s="5">
        <v>7424283000000</v>
      </c>
      <c r="Z51" s="5">
        <v>8161217000000</v>
      </c>
    </row>
    <row r="52" spans="2:26" ht="15.5" x14ac:dyDescent="0.35">
      <c r="C52" t="s">
        <v>69</v>
      </c>
      <c r="D52" s="5">
        <v>-6339279000000</v>
      </c>
      <c r="E52" s="5">
        <v>-5166996000000</v>
      </c>
      <c r="F52" s="5">
        <v>-6657095000000</v>
      </c>
      <c r="G52" s="5">
        <v>-6112454000000</v>
      </c>
      <c r="I52" s="5">
        <v>-24023219000000</v>
      </c>
      <c r="J52" s="5">
        <v>-18474414000000</v>
      </c>
      <c r="K52" s="5">
        <v>-17974493000000</v>
      </c>
      <c r="L52" s="5">
        <v>-18006474000000</v>
      </c>
      <c r="M52" s="5">
        <v>-19492034000000</v>
      </c>
      <c r="N52" s="5">
        <v>-15844152000000</v>
      </c>
      <c r="O52" s="5">
        <v>-15308230000000</v>
      </c>
      <c r="P52" s="5">
        <v>-15544881000000</v>
      </c>
      <c r="Q52" s="5">
        <v>-13160438000000</v>
      </c>
      <c r="R52" s="5">
        <v>-10445360000000</v>
      </c>
      <c r="S52" s="5">
        <v>-9977118000000</v>
      </c>
      <c r="T52" s="5">
        <v>-11354037000000</v>
      </c>
      <c r="U52" s="5">
        <v>-8593064000000</v>
      </c>
      <c r="V52" s="5">
        <v>-7206837000000</v>
      </c>
      <c r="W52" s="5">
        <v>-6837674000000</v>
      </c>
      <c r="X52" s="5">
        <v>-5234372000000</v>
      </c>
      <c r="Y52" s="5">
        <v>-4322498000000</v>
      </c>
      <c r="Z52" s="5">
        <v>-4357818000000</v>
      </c>
    </row>
    <row r="53" spans="2:26" ht="15.5" x14ac:dyDescent="0.35">
      <c r="C53" t="s">
        <v>70</v>
      </c>
      <c r="D53" s="5">
        <v>1162532000000</v>
      </c>
      <c r="E53" s="5">
        <v>1368936000000</v>
      </c>
      <c r="F53" s="5">
        <v>1014832000000</v>
      </c>
      <c r="G53" s="5">
        <v>1310374000000</v>
      </c>
      <c r="I53" s="5">
        <v>4631429000000</v>
      </c>
      <c r="J53" s="5">
        <v>3340621000000</v>
      </c>
      <c r="K53" s="5">
        <v>2770980000000</v>
      </c>
      <c r="L53" s="5">
        <v>3822117000000</v>
      </c>
      <c r="M53" s="5">
        <v>4830014000000</v>
      </c>
      <c r="N53" s="5">
        <v>2962891000000</v>
      </c>
      <c r="O53" s="5">
        <v>2144506000000</v>
      </c>
      <c r="P53" s="5">
        <v>3539506000000</v>
      </c>
      <c r="Q53" s="5">
        <v>4145250000000</v>
      </c>
      <c r="R53" s="5">
        <v>3676014000000</v>
      </c>
      <c r="S53" s="5">
        <v>3082098000000</v>
      </c>
      <c r="T53" s="5">
        <v>4951794000000</v>
      </c>
      <c r="U53" s="5">
        <v>4081935000000</v>
      </c>
      <c r="V53" s="5">
        <v>4357482000000</v>
      </c>
      <c r="W53" s="5">
        <v>3934908000000</v>
      </c>
      <c r="X53" s="5">
        <v>3609349000000</v>
      </c>
      <c r="Y53" s="5">
        <v>3101785000000</v>
      </c>
      <c r="Z53" s="5">
        <v>3803399000000</v>
      </c>
    </row>
    <row r="54" spans="2:26" ht="15.5" x14ac:dyDescent="0.35">
      <c r="C54" t="s">
        <v>71</v>
      </c>
      <c r="D54" s="5">
        <v>-437939000000</v>
      </c>
      <c r="E54" s="5">
        <v>-511263000000</v>
      </c>
      <c r="F54" s="5">
        <v>-490482000000</v>
      </c>
      <c r="G54" s="5">
        <v>-752344000000</v>
      </c>
      <c r="I54" s="5">
        <v>-2214365000000</v>
      </c>
      <c r="J54" s="5">
        <v>-1682142000000</v>
      </c>
      <c r="K54" s="5">
        <v>-1519765000000</v>
      </c>
      <c r="L54" s="5">
        <v>-1461704000000</v>
      </c>
      <c r="M54" s="5">
        <v>-1400356000000</v>
      </c>
      <c r="N54" s="5">
        <v>-1120734000000</v>
      </c>
      <c r="O54" s="5">
        <v>-1184198000000</v>
      </c>
      <c r="P54" s="5">
        <v>-1213600000000</v>
      </c>
      <c r="Q54" s="5">
        <v>-1094351000000</v>
      </c>
      <c r="R54" s="5">
        <v>-1017406000000</v>
      </c>
      <c r="S54" s="5">
        <v>-1228945000000</v>
      </c>
      <c r="T54" s="5">
        <v>-1229434000000</v>
      </c>
      <c r="U54" s="5">
        <v>-1077389000000</v>
      </c>
      <c r="V54" s="5">
        <v>-903753000000</v>
      </c>
      <c r="W54" s="5">
        <v>-739247000000</v>
      </c>
      <c r="X54" s="5">
        <v>-610638000000</v>
      </c>
      <c r="Y54" s="5">
        <v>-491567000000</v>
      </c>
      <c r="Z54" s="5">
        <v>-426055000000</v>
      </c>
    </row>
    <row r="55" spans="2:26" ht="15.5" x14ac:dyDescent="0.35">
      <c r="C55" t="s">
        <v>324</v>
      </c>
      <c r="D55" s="5">
        <v>-119616000000</v>
      </c>
      <c r="E55" s="5">
        <v>-120456000000</v>
      </c>
      <c r="F55" s="5">
        <v>539934000000</v>
      </c>
      <c r="G55" s="5">
        <v>-811763000000</v>
      </c>
      <c r="I55" s="5">
        <v>-529103000000</v>
      </c>
      <c r="J55" s="5">
        <v>-520193000000</v>
      </c>
      <c r="K55" s="5">
        <v>-611396000000</v>
      </c>
      <c r="L55" s="5">
        <v>-578728000000</v>
      </c>
      <c r="M55" s="5">
        <v>-421399000000</v>
      </c>
      <c r="N55" s="5">
        <v>-416725000000</v>
      </c>
      <c r="O55" s="5">
        <v>-460839000000</v>
      </c>
      <c r="P55" s="5">
        <v>-427554000000</v>
      </c>
      <c r="Q55" s="5">
        <v>-337933000000</v>
      </c>
      <c r="R55" s="5">
        <v>-340780000000</v>
      </c>
      <c r="S55" s="5">
        <v>-537533000000</v>
      </c>
      <c r="T55" s="5">
        <v>-546886000000</v>
      </c>
      <c r="U55" s="5">
        <v>-586042000000</v>
      </c>
      <c r="V55" s="5">
        <v>-381451000000</v>
      </c>
      <c r="W55" s="5">
        <v>-291269000000</v>
      </c>
      <c r="X55" s="5">
        <v>-206527000000</v>
      </c>
      <c r="Y55" s="5">
        <v>-173305000000</v>
      </c>
      <c r="Z55" s="5">
        <v>-161273000000</v>
      </c>
    </row>
    <row r="56" spans="2:26" ht="15.5" x14ac:dyDescent="0.35">
      <c r="C56" t="s">
        <v>325</v>
      </c>
      <c r="D56" s="5">
        <v>-318323000000</v>
      </c>
      <c r="E56" s="5">
        <v>-390807000000</v>
      </c>
      <c r="F56" s="5">
        <v>-1030416000000</v>
      </c>
      <c r="G56" s="5">
        <v>59419000000</v>
      </c>
      <c r="I56" s="5">
        <v>-1685262000000</v>
      </c>
      <c r="J56" s="5">
        <v>-1161949000000</v>
      </c>
      <c r="K56" s="5">
        <v>-908369000000</v>
      </c>
      <c r="L56" s="5">
        <v>-882976000000</v>
      </c>
      <c r="M56" s="5">
        <v>-978957000000</v>
      </c>
      <c r="N56" s="5">
        <v>-704009000000</v>
      </c>
      <c r="O56" s="5">
        <v>-723359000000</v>
      </c>
      <c r="P56" s="5">
        <v>-786046000000</v>
      </c>
      <c r="Q56" s="5">
        <v>-756418000000</v>
      </c>
      <c r="R56" s="5">
        <v>-676626000000</v>
      </c>
      <c r="S56" s="5">
        <v>-691412000000</v>
      </c>
      <c r="T56" s="5">
        <v>-682548000000</v>
      </c>
      <c r="U56" s="5">
        <v>-491347000000</v>
      </c>
      <c r="V56" s="5">
        <v>-522302000000</v>
      </c>
      <c r="W56" s="5">
        <v>-447978000000</v>
      </c>
      <c r="X56" s="5">
        <v>-404111000000</v>
      </c>
      <c r="Y56" s="5">
        <v>-318262000000</v>
      </c>
      <c r="Z56" s="5">
        <v>-264782000000</v>
      </c>
    </row>
    <row r="57" spans="2:26" ht="15.5" x14ac:dyDescent="0.35">
      <c r="C57" t="s">
        <v>74</v>
      </c>
      <c r="D57" s="5">
        <v>724593000000</v>
      </c>
      <c r="E57" s="5">
        <v>857673000000</v>
      </c>
      <c r="F57" s="5">
        <v>524350000000</v>
      </c>
      <c r="G57" s="5">
        <v>558030000000</v>
      </c>
      <c r="I57" s="5">
        <v>2417064000000</v>
      </c>
      <c r="J57" s="5">
        <v>1658479000000</v>
      </c>
      <c r="K57" s="5">
        <v>1251215000000</v>
      </c>
      <c r="L57" s="5">
        <v>2360413000000</v>
      </c>
      <c r="M57" s="5">
        <v>3429658000000</v>
      </c>
      <c r="N57" s="5">
        <v>1842157000000</v>
      </c>
      <c r="O57" s="5">
        <v>960308000000</v>
      </c>
      <c r="P57" s="5">
        <v>2325906000000</v>
      </c>
      <c r="Q57" s="5">
        <v>3050899000000</v>
      </c>
      <c r="R57" s="5">
        <v>2658608000000</v>
      </c>
      <c r="S57" s="5">
        <v>1853153000000</v>
      </c>
      <c r="T57" s="5">
        <v>3722360000000</v>
      </c>
      <c r="U57" s="5">
        <v>3004546000000</v>
      </c>
      <c r="V57" s="5">
        <v>3453729000000</v>
      </c>
      <c r="W57" s="5">
        <v>3195661000000</v>
      </c>
      <c r="X57" s="5">
        <v>2998711000000</v>
      </c>
      <c r="Y57" s="5">
        <v>2610218000000</v>
      </c>
      <c r="Z57" s="5">
        <v>3377344000000</v>
      </c>
    </row>
    <row r="58" spans="2:26" ht="15.5" x14ac:dyDescent="0.35">
      <c r="C58" t="s">
        <v>75</v>
      </c>
      <c r="D58" s="5">
        <v>-184588000000</v>
      </c>
      <c r="E58" s="5">
        <v>-187042000000</v>
      </c>
      <c r="F58" s="5">
        <v>42028000000</v>
      </c>
      <c r="G58" s="5">
        <v>60891000000</v>
      </c>
      <c r="I58" s="5">
        <v>-190336000000</v>
      </c>
      <c r="J58" s="5">
        <v>48649000000</v>
      </c>
      <c r="K58" s="5">
        <v>247187000000</v>
      </c>
      <c r="L58" s="5">
        <v>68765000000</v>
      </c>
      <c r="M58" s="5">
        <v>-516489000000</v>
      </c>
      <c r="N58" s="5">
        <v>-379522000000</v>
      </c>
      <c r="O58" s="5">
        <v>-299448000000</v>
      </c>
      <c r="P58" s="5">
        <v>-118826000000</v>
      </c>
      <c r="Q58" s="5">
        <v>-112394000000</v>
      </c>
      <c r="R58" s="5">
        <v>-449830000000</v>
      </c>
      <c r="S58" s="5">
        <v>-677640000000</v>
      </c>
      <c r="T58" s="5">
        <v>-32370000000</v>
      </c>
      <c r="U58" s="5">
        <v>-399475000000</v>
      </c>
      <c r="V58" s="5">
        <v>71164000000</v>
      </c>
      <c r="W58" s="5">
        <v>137271000000</v>
      </c>
      <c r="X58" s="5">
        <v>-34671000000</v>
      </c>
      <c r="Y58" s="5">
        <v>-109792000000</v>
      </c>
      <c r="Z58" s="5">
        <v>572091000000</v>
      </c>
    </row>
    <row r="59" spans="2:26" ht="15.5" x14ac:dyDescent="0.35">
      <c r="C59" t="s">
        <v>25</v>
      </c>
      <c r="D59" s="5">
        <v>-878000000</v>
      </c>
      <c r="E59" s="5">
        <v>318000000</v>
      </c>
      <c r="F59" s="5">
        <v>-41899000000</v>
      </c>
      <c r="G59" s="5">
        <v>-48891000000</v>
      </c>
      <c r="I59" s="5">
        <v>-139258000000</v>
      </c>
      <c r="J59" s="5">
        <v>-264688000000</v>
      </c>
      <c r="K59" s="5">
        <v>-268262000000</v>
      </c>
      <c r="L59" s="5">
        <v>-366449000000</v>
      </c>
      <c r="M59" s="5">
        <v>-394499000000</v>
      </c>
      <c r="N59" s="5">
        <v>-418290000000</v>
      </c>
      <c r="O59" s="5">
        <v>-350337000000</v>
      </c>
      <c r="P59" s="5">
        <v>-225057000000</v>
      </c>
      <c r="Q59" s="5">
        <v>-132446000000</v>
      </c>
      <c r="R59" s="5">
        <v>-144873000000</v>
      </c>
      <c r="S59" s="5">
        <v>-125509000000</v>
      </c>
      <c r="T59" s="5">
        <v>-96080000000</v>
      </c>
      <c r="U59" s="5">
        <v>-443782000000</v>
      </c>
      <c r="V59" s="5">
        <v>-29196000000</v>
      </c>
      <c r="W59" s="5">
        <v>-5806000000</v>
      </c>
      <c r="X59" s="5">
        <v>-8258000000</v>
      </c>
      <c r="Y59" s="5">
        <v>-30617000000</v>
      </c>
      <c r="Z59" s="5">
        <v>-179000000</v>
      </c>
    </row>
    <row r="60" spans="2:26" ht="15.5" x14ac:dyDescent="0.35">
      <c r="C60" t="s">
        <v>77</v>
      </c>
      <c r="D60" s="5">
        <v>4683000000</v>
      </c>
      <c r="E60" s="5">
        <v>-88817000000</v>
      </c>
      <c r="F60" s="5">
        <v>58758000000</v>
      </c>
      <c r="G60" s="5">
        <v>-28130000000</v>
      </c>
      <c r="I60" s="5">
        <v>-77549000000</v>
      </c>
      <c r="J60" s="5">
        <v>-19421000000</v>
      </c>
      <c r="K60" s="5">
        <v>19835000000</v>
      </c>
      <c r="L60" s="5">
        <v>215627000000</v>
      </c>
      <c r="M60" s="5">
        <v>113159000000</v>
      </c>
      <c r="N60" s="5">
        <v>88463000000</v>
      </c>
      <c r="O60" s="5">
        <v>-5899000000</v>
      </c>
      <c r="P60" s="5">
        <v>-15069000000</v>
      </c>
      <c r="Q60" s="5">
        <v>-83652000000</v>
      </c>
      <c r="R60" s="5">
        <v>-12528000000</v>
      </c>
      <c r="S60" s="5">
        <v>5002000000</v>
      </c>
      <c r="T60" s="5">
        <v>20831000000</v>
      </c>
    </row>
    <row r="61" spans="2:26" ht="15.5" x14ac:dyDescent="0.35">
      <c r="C61" t="s">
        <v>326</v>
      </c>
      <c r="D61" s="5">
        <v>-34499000000</v>
      </c>
      <c r="E61" s="5">
        <v>99926000000</v>
      </c>
      <c r="F61" s="5">
        <v>-44021000000</v>
      </c>
      <c r="G61" s="5">
        <v>28425000000</v>
      </c>
      <c r="I61" s="5">
        <v>44160000000</v>
      </c>
      <c r="J61" s="5">
        <v>-8400000000</v>
      </c>
      <c r="K61" s="5">
        <v>-17580000000</v>
      </c>
      <c r="L61" s="5">
        <v>50407000000</v>
      </c>
      <c r="M61" s="5">
        <v>65382000000</v>
      </c>
      <c r="N61" s="5">
        <v>33048000000</v>
      </c>
      <c r="O61" s="5">
        <v>-34652000000</v>
      </c>
      <c r="P61" s="5">
        <v>66114000000</v>
      </c>
      <c r="Q61" s="5">
        <v>4912000000</v>
      </c>
      <c r="R61" s="5">
        <v>200613000000</v>
      </c>
      <c r="S61" s="5">
        <v>-580368000000</v>
      </c>
      <c r="T61" s="5">
        <v>-126680000000</v>
      </c>
      <c r="U61" s="5">
        <v>-72414000000</v>
      </c>
      <c r="V61" s="5">
        <v>-826000000</v>
      </c>
      <c r="W61" s="5">
        <v>433000000</v>
      </c>
      <c r="X61" s="5">
        <v>-27964000000</v>
      </c>
      <c r="Y61" s="5">
        <v>-111154000000</v>
      </c>
      <c r="Z61" s="5">
        <v>78310000000</v>
      </c>
    </row>
    <row r="62" spans="2:26" ht="15.5" x14ac:dyDescent="0.35">
      <c r="C62" t="s">
        <v>76</v>
      </c>
      <c r="D62" s="5">
        <v>34885000000</v>
      </c>
      <c r="E62" s="5">
        <v>46236000000</v>
      </c>
      <c r="F62" s="5">
        <v>95507000000</v>
      </c>
      <c r="G62" s="5">
        <v>75985000000</v>
      </c>
      <c r="I62" s="5">
        <v>279792000000</v>
      </c>
      <c r="J62" s="5">
        <v>211496000000</v>
      </c>
      <c r="K62" s="5">
        <v>92317000000</v>
      </c>
      <c r="L62" s="5">
        <v>82401000000</v>
      </c>
      <c r="M62" s="5">
        <v>62793000000</v>
      </c>
      <c r="N62" s="5">
        <v>51002000000</v>
      </c>
      <c r="O62" s="5">
        <v>30214000000</v>
      </c>
      <c r="P62" s="5">
        <v>25774000000</v>
      </c>
      <c r="Q62" s="5">
        <v>24005000000</v>
      </c>
      <c r="R62" s="5">
        <v>25588000000</v>
      </c>
      <c r="S62" s="5">
        <v>27776000000</v>
      </c>
      <c r="T62" s="5">
        <v>23016000000</v>
      </c>
      <c r="U62" s="5">
        <v>18028000000</v>
      </c>
      <c r="V62" s="5">
        <v>22016000000</v>
      </c>
      <c r="W62" s="5">
        <v>93433000000</v>
      </c>
      <c r="X62" s="5">
        <v>39263000000</v>
      </c>
      <c r="Y62" s="5">
        <v>58024000000</v>
      </c>
      <c r="Z62" s="5">
        <v>129424000000</v>
      </c>
    </row>
    <row r="63" spans="2:26" ht="15.5" x14ac:dyDescent="0.35">
      <c r="C63" t="s">
        <v>73</v>
      </c>
      <c r="D63" s="5">
        <v>14640000000</v>
      </c>
      <c r="E63" s="5">
        <v>24471000000</v>
      </c>
      <c r="F63" s="5">
        <v>17330000000</v>
      </c>
      <c r="G63" s="5">
        <v>17078000000</v>
      </c>
      <c r="I63" s="5">
        <v>66770000000</v>
      </c>
      <c r="J63" s="5">
        <v>38021000000</v>
      </c>
      <c r="K63" s="5">
        <v>32567000000</v>
      </c>
      <c r="L63" s="5">
        <v>66513000000</v>
      </c>
      <c r="M63" s="5">
        <v>96580000000</v>
      </c>
      <c r="N63" s="5">
        <v>60767000000</v>
      </c>
      <c r="O63" s="5">
        <v>32123000000</v>
      </c>
      <c r="P63" s="5">
        <v>82875000000</v>
      </c>
      <c r="Q63" s="5">
        <v>102923000000</v>
      </c>
      <c r="R63" s="5">
        <v>109138000000</v>
      </c>
      <c r="S63" s="5">
        <v>77111000000</v>
      </c>
      <c r="T63" s="5">
        <v>116569000000</v>
      </c>
      <c r="U63" s="5">
        <v>102359000000</v>
      </c>
      <c r="V63" s="5">
        <v>107451000000</v>
      </c>
      <c r="W63" s="5">
        <v>93001000000</v>
      </c>
    </row>
    <row r="64" spans="2:26" ht="15.5" x14ac:dyDescent="0.35">
      <c r="C64" t="s">
        <v>78</v>
      </c>
      <c r="D64" s="5">
        <v>-184588000000</v>
      </c>
      <c r="E64" s="5">
        <v>-187042000000</v>
      </c>
      <c r="F64" s="5">
        <v>42028000000</v>
      </c>
      <c r="G64" s="5">
        <v>60891000000</v>
      </c>
      <c r="I64" s="5">
        <v>-190336000000</v>
      </c>
      <c r="J64" s="5">
        <v>48649000000</v>
      </c>
      <c r="K64" s="5">
        <v>247187000000</v>
      </c>
      <c r="L64" s="5">
        <v>68765000000</v>
      </c>
      <c r="M64" s="5">
        <v>-516489000000</v>
      </c>
      <c r="N64" s="5">
        <v>-379522000000</v>
      </c>
      <c r="O64" s="5">
        <v>-299448000000</v>
      </c>
      <c r="P64" s="5">
        <v>-118826000000</v>
      </c>
      <c r="Q64" s="5">
        <v>-112394000000</v>
      </c>
      <c r="R64" s="5">
        <v>-449830000000</v>
      </c>
      <c r="S64" s="5">
        <v>-677640000000</v>
      </c>
      <c r="T64" s="5">
        <v>-32370000000</v>
      </c>
      <c r="U64" s="5">
        <v>-399475000000</v>
      </c>
      <c r="V64" s="5">
        <v>71164000000</v>
      </c>
      <c r="W64" s="5">
        <v>137271000000</v>
      </c>
      <c r="X64" s="5">
        <v>-34671000000</v>
      </c>
      <c r="Y64" s="5">
        <v>-109792000000</v>
      </c>
      <c r="Z64" s="5">
        <v>572091000000</v>
      </c>
    </row>
    <row r="65" spans="2:26" ht="15.5" x14ac:dyDescent="0.35">
      <c r="C65" t="s">
        <v>27</v>
      </c>
      <c r="D65" s="5">
        <v>540005000000</v>
      </c>
      <c r="E65" s="5">
        <v>670631000000</v>
      </c>
      <c r="F65" s="5">
        <v>566378000000</v>
      </c>
      <c r="G65" s="5">
        <v>618921000000</v>
      </c>
      <c r="I65" s="5">
        <v>2226728000000</v>
      </c>
      <c r="J65" s="5">
        <v>1707128000000</v>
      </c>
      <c r="K65" s="5">
        <v>1498402000000</v>
      </c>
      <c r="L65" s="5">
        <v>2429178000000</v>
      </c>
      <c r="M65" s="5">
        <v>2913169000000</v>
      </c>
      <c r="N65" s="5">
        <v>1462635000000</v>
      </c>
      <c r="O65" s="5">
        <v>660860000000</v>
      </c>
      <c r="P65" s="5">
        <v>2207080000000</v>
      </c>
      <c r="Q65" s="5">
        <v>2938505000000</v>
      </c>
      <c r="R65" s="5">
        <v>2208778000000</v>
      </c>
      <c r="S65" s="5">
        <v>1175513000000</v>
      </c>
      <c r="T65" s="5">
        <v>3689990000000</v>
      </c>
      <c r="U65" s="5">
        <v>2605071000000</v>
      </c>
      <c r="V65" s="5">
        <v>3524893000000</v>
      </c>
      <c r="W65" s="5">
        <v>3332932000000</v>
      </c>
      <c r="X65" s="5">
        <v>2964040000000</v>
      </c>
      <c r="Y65" s="5">
        <v>2500426000000</v>
      </c>
      <c r="Z65" s="5">
        <v>3949435000000</v>
      </c>
    </row>
    <row r="66" spans="2:26" ht="15.5" x14ac:dyDescent="0.35">
      <c r="C66" t="s">
        <v>26</v>
      </c>
      <c r="D66" s="5">
        <v>-151604000000</v>
      </c>
      <c r="E66" s="5">
        <v>-245414000000</v>
      </c>
      <c r="F66" s="5">
        <v>-181054000000</v>
      </c>
      <c r="G66" s="5">
        <v>-176754000000</v>
      </c>
      <c r="I66" s="5">
        <v>-689097000000</v>
      </c>
      <c r="J66" s="5">
        <v>-520345000000</v>
      </c>
      <c r="K66" s="5">
        <v>-410232000000</v>
      </c>
      <c r="L66" s="5">
        <v>-637128000000</v>
      </c>
      <c r="M66" s="5">
        <v>-845807000000</v>
      </c>
      <c r="N66" s="5">
        <v>-568856000000</v>
      </c>
      <c r="O66" s="5">
        <v>-417231000000</v>
      </c>
      <c r="P66" s="5">
        <v>-686357000000</v>
      </c>
      <c r="Q66" s="5">
        <v>-824876000000</v>
      </c>
      <c r="R66" s="5">
        <v>-94479000000</v>
      </c>
      <c r="S66" s="5">
        <v>-479829000000</v>
      </c>
      <c r="T66" s="5">
        <v>-1068715000000</v>
      </c>
      <c r="U66" s="5">
        <v>-701983000000</v>
      </c>
      <c r="V66" s="5">
        <v>-1004627000000</v>
      </c>
      <c r="W66" s="5">
        <v>-834367000000</v>
      </c>
      <c r="X66" s="5">
        <v>-860388000000</v>
      </c>
      <c r="Y66" s="5">
        <v>-770778000000</v>
      </c>
      <c r="Z66" s="5">
        <v>-1233917000000</v>
      </c>
    </row>
    <row r="67" spans="2:26" ht="15.5" x14ac:dyDescent="0.35">
      <c r="C67" t="s">
        <v>327</v>
      </c>
      <c r="X67" s="5">
        <v>2103652000000</v>
      </c>
      <c r="Y67" s="5">
        <v>1729648000000</v>
      </c>
      <c r="Z67" s="5">
        <v>2715518000000</v>
      </c>
    </row>
    <row r="68" spans="2:26" ht="15.5" x14ac:dyDescent="0.35">
      <c r="C68" t="s">
        <v>328</v>
      </c>
      <c r="X68" s="5">
        <v>-86872000000</v>
      </c>
      <c r="Y68" s="5">
        <v>-68999000000</v>
      </c>
      <c r="Z68" s="5">
        <v>-84499000000</v>
      </c>
    </row>
    <row r="69" spans="2:26" ht="15.5" x14ac:dyDescent="0.35">
      <c r="C69" t="s">
        <v>79</v>
      </c>
      <c r="D69" s="5">
        <v>388401000000</v>
      </c>
      <c r="E69" s="5">
        <v>425217000000</v>
      </c>
      <c r="F69" s="5">
        <v>385324000000</v>
      </c>
      <c r="G69" s="5">
        <v>442167000000</v>
      </c>
      <c r="I69" s="5">
        <v>1537631000000</v>
      </c>
      <c r="J69" s="5">
        <v>1186783000000</v>
      </c>
      <c r="K69" s="5">
        <v>1088170000000</v>
      </c>
      <c r="L69" s="5">
        <v>1792050000000</v>
      </c>
      <c r="M69" s="5">
        <v>2067362000000</v>
      </c>
      <c r="N69" s="5">
        <v>893779000000</v>
      </c>
      <c r="O69" s="5">
        <v>243629000000</v>
      </c>
      <c r="P69" s="5">
        <v>1520723000000</v>
      </c>
      <c r="Q69" s="5">
        <v>2113629000000</v>
      </c>
      <c r="R69" s="5">
        <v>2114299000000</v>
      </c>
      <c r="S69" s="5">
        <v>695684000000</v>
      </c>
      <c r="T69" s="5">
        <v>2621275000000</v>
      </c>
      <c r="U69" s="5">
        <v>1903088000000</v>
      </c>
      <c r="V69" s="5">
        <v>2520266000000</v>
      </c>
      <c r="W69" s="5">
        <v>2498565000000</v>
      </c>
      <c r="X69" s="5">
        <v>2016780000000</v>
      </c>
      <c r="Y69" s="5">
        <v>1660649000000</v>
      </c>
      <c r="Z69" s="5">
        <v>2631019000000</v>
      </c>
    </row>
    <row r="70" spans="2:26" ht="15.5" x14ac:dyDescent="0.35">
      <c r="C70" t="s">
        <v>80</v>
      </c>
      <c r="D70" s="5">
        <v>-12518000000</v>
      </c>
      <c r="E70" s="5">
        <v>34237000000</v>
      </c>
      <c r="I70" s="5">
        <v>34237000000</v>
      </c>
      <c r="J70" s="5">
        <v>-43641000000</v>
      </c>
      <c r="K70" s="5">
        <v>48204000000</v>
      </c>
      <c r="L70" s="5">
        <v>193870000000</v>
      </c>
      <c r="M70" s="5">
        <v>386712000000</v>
      </c>
      <c r="N70" s="5">
        <v>-426526000000</v>
      </c>
      <c r="O70" s="5">
        <v>-248852000000</v>
      </c>
      <c r="P70" s="5">
        <v>151293000000</v>
      </c>
      <c r="Q70" s="5">
        <v>-49614000000</v>
      </c>
      <c r="R70" s="5">
        <v>65488000000</v>
      </c>
      <c r="S70" s="5">
        <v>-6281000000</v>
      </c>
      <c r="T70" s="5">
        <v>-36630000000</v>
      </c>
      <c r="U70" s="5">
        <v>33162000000</v>
      </c>
      <c r="V70" s="5">
        <v>-66612000000</v>
      </c>
    </row>
    <row r="71" spans="2:26" ht="15.5" x14ac:dyDescent="0.35">
      <c r="C71" t="s">
        <v>329</v>
      </c>
      <c r="D71" s="5">
        <v>-12518000000</v>
      </c>
      <c r="E71" s="5">
        <v>34237000000</v>
      </c>
      <c r="I71" s="5">
        <v>34237000000</v>
      </c>
      <c r="J71" s="5">
        <v>-43641000000</v>
      </c>
      <c r="K71" s="5">
        <v>48204000000</v>
      </c>
      <c r="L71" s="5">
        <v>193870000000</v>
      </c>
      <c r="M71" s="5">
        <v>386712000000</v>
      </c>
      <c r="N71" s="5">
        <v>-426526000000</v>
      </c>
      <c r="O71" s="5">
        <v>-248852000000</v>
      </c>
      <c r="P71" s="5">
        <v>151293000000</v>
      </c>
      <c r="Q71" s="5">
        <v>-49614000000</v>
      </c>
      <c r="R71" s="5">
        <v>65488000000</v>
      </c>
      <c r="S71" s="5">
        <v>-6281000000</v>
      </c>
      <c r="T71" s="5">
        <v>-36630000000</v>
      </c>
      <c r="U71" s="5">
        <v>33162000000</v>
      </c>
      <c r="V71" s="5">
        <v>-66612000000</v>
      </c>
    </row>
    <row r="72" spans="2:26" ht="15.5" x14ac:dyDescent="0.35">
      <c r="C72" t="s">
        <v>81</v>
      </c>
      <c r="D72" s="5">
        <v>375883000000</v>
      </c>
      <c r="E72" s="5">
        <v>459454000000</v>
      </c>
      <c r="F72" s="5">
        <v>385324000000</v>
      </c>
      <c r="G72" s="5">
        <v>442167000000</v>
      </c>
      <c r="I72" s="5">
        <v>1571868000000</v>
      </c>
      <c r="J72" s="5">
        <v>1143142000000</v>
      </c>
      <c r="K72" s="5">
        <v>1136374000000</v>
      </c>
      <c r="L72" s="5">
        <v>1985920000000</v>
      </c>
      <c r="M72" s="5">
        <v>2454074000000</v>
      </c>
      <c r="N72" s="5">
        <v>467253000000</v>
      </c>
      <c r="O72" s="5">
        <v>-5223000000</v>
      </c>
      <c r="P72" s="5">
        <v>1672016000000</v>
      </c>
      <c r="Q72" s="5">
        <v>2064015000000</v>
      </c>
      <c r="R72" s="5">
        <v>2179787000000</v>
      </c>
      <c r="S72" s="5">
        <v>689403000000</v>
      </c>
      <c r="T72" s="5">
        <v>2584645000000</v>
      </c>
      <c r="U72" s="5">
        <v>1936250000000</v>
      </c>
      <c r="V72" s="5">
        <v>2453654000000</v>
      </c>
      <c r="W72" s="5">
        <v>2498565000000</v>
      </c>
    </row>
    <row r="73" spans="2:26" ht="15.5" x14ac:dyDescent="0.35">
      <c r="C73" t="s">
        <v>82</v>
      </c>
      <c r="D73" s="5">
        <v>388401000000</v>
      </c>
      <c r="E73" s="5">
        <v>425217000000</v>
      </c>
      <c r="F73" s="5">
        <v>385324000000</v>
      </c>
      <c r="G73" s="5">
        <v>442167000000</v>
      </c>
      <c r="I73" s="5">
        <v>1537631000000</v>
      </c>
      <c r="J73" s="5">
        <v>1186783000000</v>
      </c>
      <c r="K73" s="5">
        <v>1088170000000</v>
      </c>
      <c r="L73" s="5">
        <v>1792050000000</v>
      </c>
      <c r="M73" s="5">
        <v>2067362000000</v>
      </c>
      <c r="N73" s="5">
        <v>893779000000</v>
      </c>
      <c r="O73" s="5">
        <v>243629000000</v>
      </c>
      <c r="P73" s="5">
        <v>1520723000000</v>
      </c>
      <c r="Q73" s="5">
        <v>2113629000000</v>
      </c>
      <c r="R73" s="5">
        <v>2114299000000</v>
      </c>
      <c r="S73" s="5">
        <v>695684000000</v>
      </c>
      <c r="T73" s="5">
        <v>2621275000000</v>
      </c>
      <c r="U73" s="5">
        <v>1903088000000</v>
      </c>
      <c r="V73" s="5">
        <v>2520266000000</v>
      </c>
      <c r="W73" s="5">
        <v>2498565000000</v>
      </c>
      <c r="X73" s="5">
        <v>2016780000000</v>
      </c>
      <c r="Y73" s="5">
        <v>1660649000000</v>
      </c>
      <c r="Z73" s="5">
        <v>2631019000000</v>
      </c>
    </row>
    <row r="74" spans="2:26" ht="15.5" x14ac:dyDescent="0.35">
      <c r="C74" t="s">
        <v>6</v>
      </c>
      <c r="D74" s="5">
        <v>361243000000</v>
      </c>
      <c r="E74" s="5">
        <v>434983000000</v>
      </c>
      <c r="F74" s="5">
        <v>367994000000</v>
      </c>
      <c r="G74" s="5">
        <v>425089000000</v>
      </c>
      <c r="I74" s="5">
        <v>1505098000000</v>
      </c>
      <c r="J74" s="5">
        <v>1105121000000</v>
      </c>
      <c r="K74" s="5">
        <v>1103807000000</v>
      </c>
      <c r="L74" s="5">
        <v>1919407000000</v>
      </c>
      <c r="M74" s="5">
        <v>2357494000000</v>
      </c>
      <c r="N74" s="5">
        <v>406486000000</v>
      </c>
      <c r="O74" s="5">
        <v>-37346000000</v>
      </c>
      <c r="P74" s="5">
        <v>1589141000000</v>
      </c>
      <c r="Q74" s="5">
        <v>1961092000000</v>
      </c>
      <c r="R74" s="5">
        <v>2070649000000</v>
      </c>
      <c r="S74" s="5">
        <v>612292000000</v>
      </c>
      <c r="T74" s="5">
        <v>2468076000000</v>
      </c>
      <c r="U74" s="5">
        <v>1833891000000</v>
      </c>
      <c r="V74" s="5">
        <v>2346203000000</v>
      </c>
      <c r="W74" s="5">
        <v>2405564000000</v>
      </c>
    </row>
    <row r="75" spans="2:26" ht="15.5" x14ac:dyDescent="0.35">
      <c r="C75" t="s">
        <v>83</v>
      </c>
      <c r="D75" s="5">
        <v>388401000000</v>
      </c>
      <c r="E75" s="5">
        <v>425217000000</v>
      </c>
      <c r="F75" s="5">
        <v>385324000000</v>
      </c>
      <c r="G75" s="5">
        <v>442167000000</v>
      </c>
      <c r="I75" s="5">
        <v>1537631000000</v>
      </c>
      <c r="J75" s="5">
        <v>1186783000000</v>
      </c>
      <c r="K75" s="5">
        <v>1088170000000</v>
      </c>
      <c r="L75" s="5">
        <v>1792050000000</v>
      </c>
      <c r="M75" s="5">
        <v>2067362000000</v>
      </c>
      <c r="N75" s="5">
        <v>893779000000</v>
      </c>
      <c r="O75" s="5">
        <v>243629000000</v>
      </c>
      <c r="P75" s="5">
        <v>1520723000000</v>
      </c>
      <c r="Q75" s="5">
        <v>2113629000000</v>
      </c>
      <c r="R75" s="5">
        <v>2114299000000</v>
      </c>
      <c r="S75" s="5">
        <v>695684000000</v>
      </c>
      <c r="T75" s="5">
        <v>2621275000000</v>
      </c>
      <c r="U75" s="5">
        <v>1903088000000</v>
      </c>
      <c r="V75" s="5">
        <v>2520266000000</v>
      </c>
      <c r="W75" s="5">
        <v>2498565000000</v>
      </c>
      <c r="X75" s="5">
        <v>2016780000000</v>
      </c>
      <c r="Y75" s="5">
        <v>1660649000000</v>
      </c>
      <c r="Z75" s="5">
        <v>2631019000000</v>
      </c>
    </row>
    <row r="76" spans="2:26" ht="15.5" x14ac:dyDescent="0.35">
      <c r="C76" t="s">
        <v>84</v>
      </c>
      <c r="D76" s="5">
        <v>375883000000</v>
      </c>
      <c r="E76" s="5">
        <v>459454000000</v>
      </c>
      <c r="F76" s="5">
        <v>385324000000</v>
      </c>
      <c r="G76" s="5">
        <v>442167000000</v>
      </c>
      <c r="I76" s="5">
        <v>1571868000000</v>
      </c>
      <c r="J76" s="5">
        <v>1143142000000</v>
      </c>
      <c r="K76" s="5">
        <v>1136374000000</v>
      </c>
      <c r="L76" s="5">
        <v>1985920000000</v>
      </c>
      <c r="M76" s="5">
        <v>2454074000000</v>
      </c>
      <c r="N76" s="5">
        <v>467253000000</v>
      </c>
      <c r="O76" s="5">
        <v>-5223000000</v>
      </c>
      <c r="P76" s="5">
        <v>1672016000000</v>
      </c>
      <c r="Q76" s="5">
        <v>2064015000000</v>
      </c>
      <c r="R76" s="5">
        <v>2179787000000</v>
      </c>
      <c r="S76" s="5">
        <v>689403000000</v>
      </c>
      <c r="T76" s="5">
        <v>2584645000000</v>
      </c>
      <c r="U76" s="5">
        <v>1936250000000</v>
      </c>
      <c r="V76" s="5">
        <v>2453654000000</v>
      </c>
      <c r="W76" s="5">
        <v>2498565000000</v>
      </c>
    </row>
    <row r="77" spans="2:26" ht="15.5" x14ac:dyDescent="0.35">
      <c r="C77" t="s">
        <v>85</v>
      </c>
      <c r="D77" s="5">
        <v>375883000000</v>
      </c>
      <c r="E77" s="5">
        <v>459454000000</v>
      </c>
      <c r="F77" s="5">
        <v>385324000000</v>
      </c>
      <c r="G77" s="5">
        <v>442167000000</v>
      </c>
      <c r="I77" s="5">
        <v>1571868000000</v>
      </c>
      <c r="J77" s="5">
        <v>1143142000000</v>
      </c>
      <c r="K77" s="5">
        <v>1136374000000</v>
      </c>
      <c r="L77" s="5">
        <v>1985920000000</v>
      </c>
      <c r="M77" s="5">
        <v>2454074000000</v>
      </c>
      <c r="N77" s="5">
        <v>467253000000</v>
      </c>
      <c r="O77" s="5">
        <v>-5223000000</v>
      </c>
      <c r="P77" s="5">
        <v>1672016000000</v>
      </c>
      <c r="Q77" s="5">
        <v>2064015000000</v>
      </c>
      <c r="R77" s="5">
        <v>2179787000000</v>
      </c>
      <c r="S77" s="5">
        <v>689403000000</v>
      </c>
      <c r="T77" s="5">
        <v>2584645000000</v>
      </c>
      <c r="U77" s="5">
        <v>1936250000000</v>
      </c>
      <c r="V77" s="5">
        <v>2453654000000</v>
      </c>
      <c r="W77" s="5">
        <v>2498565000000</v>
      </c>
    </row>
    <row r="79" spans="2:26" ht="15.5" x14ac:dyDescent="0.35">
      <c r="B79" t="s">
        <v>86</v>
      </c>
      <c r="C79" t="s">
        <v>87</v>
      </c>
    </row>
    <row r="80" spans="2:26" ht="15.5" x14ac:dyDescent="0.35">
      <c r="C80" t="s">
        <v>88</v>
      </c>
    </row>
    <row r="81" spans="3:26" ht="15.5" x14ac:dyDescent="0.35">
      <c r="C81" t="s">
        <v>18</v>
      </c>
      <c r="D81" s="5">
        <v>4703854000000</v>
      </c>
      <c r="E81" s="5">
        <v>2755715000000</v>
      </c>
      <c r="F81" s="5">
        <v>4928942000000</v>
      </c>
      <c r="G81" s="5">
        <v>6324684000000</v>
      </c>
      <c r="I81" s="5">
        <v>2755715000000</v>
      </c>
      <c r="J81" s="5">
        <v>3236012000000</v>
      </c>
      <c r="K81" s="5">
        <v>2089508000000</v>
      </c>
      <c r="L81" s="5">
        <v>1619616000000</v>
      </c>
      <c r="M81" s="5">
        <v>3896022000000</v>
      </c>
      <c r="N81" s="5">
        <v>978892000000</v>
      </c>
      <c r="O81" s="5">
        <v>383366000000</v>
      </c>
      <c r="P81" s="5">
        <v>49082000000</v>
      </c>
      <c r="Q81" s="5">
        <v>262292000000</v>
      </c>
      <c r="R81" s="5">
        <v>531583000000</v>
      </c>
      <c r="S81" s="5">
        <v>294441000000</v>
      </c>
      <c r="T81" s="5">
        <v>611181000000</v>
      </c>
      <c r="U81" s="5">
        <v>709090000000</v>
      </c>
      <c r="V81" s="5">
        <v>227769000000</v>
      </c>
      <c r="W81" s="5">
        <v>838190000000</v>
      </c>
      <c r="X81" s="5">
        <v>1240781000000</v>
      </c>
      <c r="Y81" s="5">
        <v>788549000000</v>
      </c>
      <c r="Z81" s="5">
        <v>867676000000</v>
      </c>
    </row>
    <row r="82" spans="3:26" ht="15.5" x14ac:dyDescent="0.35">
      <c r="C82" t="s">
        <v>90</v>
      </c>
      <c r="D82" s="5">
        <v>897024000000</v>
      </c>
      <c r="E82" s="5">
        <v>1206608000000</v>
      </c>
      <c r="F82" s="5">
        <v>457187000000</v>
      </c>
      <c r="G82" s="5">
        <v>799809000000</v>
      </c>
      <c r="I82" s="5">
        <v>1206608000000</v>
      </c>
      <c r="J82" s="5">
        <v>370613000000</v>
      </c>
      <c r="K82" s="5">
        <v>674487000000</v>
      </c>
      <c r="L82" s="5">
        <v>848770000000</v>
      </c>
      <c r="M82" s="5">
        <v>458135000000</v>
      </c>
      <c r="N82" s="5">
        <v>765849000000</v>
      </c>
      <c r="O82" s="5">
        <v>368739000000</v>
      </c>
      <c r="P82" s="5">
        <v>616624000000</v>
      </c>
      <c r="Q82" s="5">
        <v>547538000000</v>
      </c>
      <c r="R82" s="5">
        <v>527273000000</v>
      </c>
      <c r="S82" s="5">
        <v>45639000000</v>
      </c>
      <c r="T82" s="5">
        <v>33206000000</v>
      </c>
      <c r="U82" s="5">
        <v>3923000000</v>
      </c>
      <c r="V82" s="5">
        <v>40217000000</v>
      </c>
      <c r="W82" s="5">
        <v>5374000000</v>
      </c>
      <c r="X82" s="5">
        <v>50668000000</v>
      </c>
      <c r="Y82" s="5">
        <v>150091000000</v>
      </c>
      <c r="Z82" s="5">
        <v>16346000000</v>
      </c>
    </row>
    <row r="83" spans="3:26" ht="15.5" x14ac:dyDescent="0.35">
      <c r="C83" t="s">
        <v>92</v>
      </c>
      <c r="D83" s="5">
        <v>872911000000</v>
      </c>
      <c r="E83" s="5">
        <v>861506000000</v>
      </c>
      <c r="F83" s="5">
        <v>777654000000</v>
      </c>
      <c r="G83" s="5">
        <v>997867000000</v>
      </c>
      <c r="I83" s="5">
        <v>861506000000</v>
      </c>
      <c r="J83" s="5">
        <v>689838000000</v>
      </c>
      <c r="K83" s="5">
        <v>794768000000</v>
      </c>
      <c r="L83" s="5">
        <v>1162333000000</v>
      </c>
      <c r="M83" s="5">
        <v>907364000000</v>
      </c>
      <c r="N83" s="5">
        <v>749456000000</v>
      </c>
      <c r="O83" s="5">
        <v>801001000000</v>
      </c>
      <c r="P83" s="5">
        <v>1057257000000</v>
      </c>
      <c r="Q83" s="5">
        <v>804718000000</v>
      </c>
      <c r="R83" s="5">
        <v>905834000000</v>
      </c>
      <c r="S83" s="5">
        <v>707235000000</v>
      </c>
      <c r="T83" s="5">
        <v>856261000000</v>
      </c>
      <c r="U83" s="5">
        <v>678786000000</v>
      </c>
      <c r="V83" s="5">
        <v>548841000000</v>
      </c>
      <c r="W83" s="5">
        <v>496783000000</v>
      </c>
      <c r="X83" s="5">
        <v>337136000000</v>
      </c>
      <c r="Y83" s="5">
        <v>231693000000</v>
      </c>
      <c r="Z83" s="5">
        <v>271990000000</v>
      </c>
    </row>
    <row r="84" spans="3:26" ht="15.5" x14ac:dyDescent="0.35">
      <c r="C84" t="s">
        <v>91</v>
      </c>
      <c r="D84" s="5">
        <v>21070000000</v>
      </c>
      <c r="E84" s="5">
        <v>49817000000</v>
      </c>
      <c r="F84" s="5">
        <v>24273000000</v>
      </c>
      <c r="G84" s="5">
        <v>19485000000</v>
      </c>
      <c r="I84" s="5">
        <v>49817000000</v>
      </c>
      <c r="J84" s="5">
        <v>21605000000</v>
      </c>
      <c r="K84" s="5">
        <v>47296000000</v>
      </c>
      <c r="L84" s="5">
        <v>62090000000</v>
      </c>
      <c r="M84" s="5">
        <v>119353000000</v>
      </c>
      <c r="N84" s="5">
        <v>20808000000</v>
      </c>
      <c r="O84" s="5">
        <v>25844000000</v>
      </c>
      <c r="P84" s="5">
        <v>31574000000</v>
      </c>
      <c r="Q84" s="5">
        <v>27795000000</v>
      </c>
      <c r="R84" s="5">
        <v>34274000000</v>
      </c>
      <c r="S84" s="5">
        <v>26300000000</v>
      </c>
      <c r="T84" s="5">
        <v>66681000000</v>
      </c>
      <c r="U84" s="5">
        <v>40846000000</v>
      </c>
      <c r="V84" s="5">
        <v>16580000000</v>
      </c>
      <c r="W84" s="5">
        <v>25056000000</v>
      </c>
      <c r="X84" s="5">
        <v>11711000000</v>
      </c>
      <c r="Y84" s="5">
        <v>6308000000</v>
      </c>
      <c r="Z84" s="5">
        <v>19465000000</v>
      </c>
    </row>
    <row r="85" spans="3:26" ht="15.5" x14ac:dyDescent="0.35">
      <c r="C85" t="s">
        <v>93</v>
      </c>
      <c r="D85" s="5">
        <v>897024000000</v>
      </c>
      <c r="E85" s="5">
        <v>1206608000000</v>
      </c>
      <c r="F85" s="5">
        <v>457187000000</v>
      </c>
      <c r="G85" s="5">
        <v>799809000000</v>
      </c>
      <c r="I85" s="5">
        <v>1206608000000</v>
      </c>
      <c r="J85" s="5">
        <v>370613000000</v>
      </c>
      <c r="K85" s="5">
        <v>674487000000</v>
      </c>
      <c r="L85" s="5">
        <v>848770000000</v>
      </c>
      <c r="M85" s="5">
        <v>458135000000</v>
      </c>
      <c r="N85" s="5">
        <v>765849000000</v>
      </c>
      <c r="O85" s="5">
        <v>368739000000</v>
      </c>
      <c r="P85" s="5">
        <v>616624000000</v>
      </c>
      <c r="Q85" s="5">
        <v>547538000000</v>
      </c>
      <c r="R85" s="5">
        <v>527273000000</v>
      </c>
      <c r="S85" s="5">
        <v>45639000000</v>
      </c>
      <c r="T85" s="5">
        <v>33206000000</v>
      </c>
      <c r="U85" s="5">
        <v>3923000000</v>
      </c>
      <c r="V85" s="5">
        <v>40217000000</v>
      </c>
      <c r="W85" s="5">
        <v>5374000000</v>
      </c>
      <c r="X85" s="5">
        <v>50668000000</v>
      </c>
      <c r="Y85" s="5">
        <v>150091000000</v>
      </c>
      <c r="Z85" s="5">
        <v>16346000000</v>
      </c>
    </row>
    <row r="86" spans="3:26" ht="15.5" x14ac:dyDescent="0.35">
      <c r="C86" t="s">
        <v>95</v>
      </c>
      <c r="D86" s="5">
        <v>29699000000</v>
      </c>
      <c r="E86" s="5">
        <v>31749000000</v>
      </c>
      <c r="F86" s="5">
        <v>31871000000</v>
      </c>
      <c r="G86" s="5">
        <v>44634000000</v>
      </c>
      <c r="I86" s="5">
        <v>31749000000</v>
      </c>
      <c r="J86" s="5">
        <v>39965000000</v>
      </c>
      <c r="K86" s="5">
        <v>204291000000</v>
      </c>
      <c r="L86" s="5">
        <v>49660000000</v>
      </c>
      <c r="M86" s="5">
        <v>126082000000</v>
      </c>
      <c r="N86" s="5">
        <v>624135000000</v>
      </c>
      <c r="O86" s="5">
        <v>389505000000</v>
      </c>
      <c r="P86" s="5">
        <v>46805000000</v>
      </c>
      <c r="Q86" s="5">
        <v>157211000000</v>
      </c>
      <c r="R86" s="5">
        <v>51853000000</v>
      </c>
      <c r="S86" s="5">
        <v>42387000000</v>
      </c>
      <c r="T86" s="5">
        <v>14245000000</v>
      </c>
      <c r="U86" s="5">
        <v>16631000000</v>
      </c>
      <c r="V86" s="5">
        <v>9851000000</v>
      </c>
      <c r="W86" s="5">
        <v>10984000000</v>
      </c>
      <c r="X86" s="5">
        <v>48164000000</v>
      </c>
      <c r="Y86" s="5">
        <v>6633000000</v>
      </c>
      <c r="Z86" s="5">
        <v>8359000000</v>
      </c>
    </row>
    <row r="87" spans="3:26" ht="15.5" x14ac:dyDescent="0.35">
      <c r="C87" t="s">
        <v>96</v>
      </c>
      <c r="D87" s="5">
        <v>29699000000</v>
      </c>
      <c r="E87" s="5">
        <v>31749000000</v>
      </c>
      <c r="F87" s="5">
        <v>31871000000</v>
      </c>
      <c r="G87" s="5">
        <v>44634000000</v>
      </c>
      <c r="I87" s="5">
        <v>31749000000</v>
      </c>
      <c r="J87" s="5">
        <v>39965000000</v>
      </c>
      <c r="K87" s="5">
        <v>204291000000</v>
      </c>
      <c r="L87" s="5">
        <v>49660000000</v>
      </c>
      <c r="M87" s="5">
        <v>126082000000</v>
      </c>
      <c r="N87" s="5">
        <v>624135000000</v>
      </c>
      <c r="O87" s="5">
        <v>389505000000</v>
      </c>
      <c r="P87" s="5">
        <v>46805000000</v>
      </c>
      <c r="Q87" s="5">
        <v>157211000000</v>
      </c>
      <c r="R87" s="5">
        <v>51853000000</v>
      </c>
      <c r="S87" s="5">
        <v>42387000000</v>
      </c>
      <c r="T87" s="5">
        <v>14245000000</v>
      </c>
      <c r="U87" s="5">
        <v>16631000000</v>
      </c>
      <c r="V87" s="5">
        <v>9851000000</v>
      </c>
      <c r="W87" s="5">
        <v>10984000000</v>
      </c>
      <c r="X87" s="5">
        <v>48164000000</v>
      </c>
      <c r="Y87" s="5">
        <v>6633000000</v>
      </c>
      <c r="Z87" s="5">
        <v>8359000000</v>
      </c>
    </row>
    <row r="88" spans="3:26" ht="15.5" x14ac:dyDescent="0.35">
      <c r="C88" t="s">
        <v>94</v>
      </c>
      <c r="D88" s="5">
        <v>2930339000000</v>
      </c>
      <c r="E88" s="5">
        <v>3246904000000</v>
      </c>
      <c r="F88" s="5">
        <v>2689905000000</v>
      </c>
      <c r="G88" s="5">
        <v>3229148000000</v>
      </c>
      <c r="I88" s="5">
        <v>3246904000000</v>
      </c>
      <c r="J88" s="5">
        <v>3699970000000</v>
      </c>
      <c r="K88" s="5">
        <v>2876100000000</v>
      </c>
      <c r="L88" s="5">
        <v>3273597000000</v>
      </c>
      <c r="M88" s="5">
        <v>3023478000000</v>
      </c>
      <c r="N88" s="5">
        <v>2165603000000</v>
      </c>
      <c r="O88" s="5">
        <v>1974035000000</v>
      </c>
      <c r="P88" s="5">
        <v>2368363000000</v>
      </c>
      <c r="Q88" s="5">
        <v>2018104000000</v>
      </c>
      <c r="R88" s="5">
        <v>2097204000000</v>
      </c>
      <c r="S88" s="5">
        <v>1691575000000</v>
      </c>
      <c r="T88" s="5">
        <v>1278120000000</v>
      </c>
      <c r="U88" s="5">
        <v>802978000000</v>
      </c>
      <c r="V88" s="5">
        <v>1249050000000</v>
      </c>
      <c r="W88" s="5">
        <v>769903000000</v>
      </c>
      <c r="X88" s="5">
        <v>624694000000</v>
      </c>
      <c r="Y88" s="5">
        <v>610031000000</v>
      </c>
      <c r="Z88" s="5">
        <v>781363000000</v>
      </c>
    </row>
    <row r="89" spans="3:26" ht="15.5" x14ac:dyDescent="0.35">
      <c r="C89" t="s">
        <v>73</v>
      </c>
      <c r="D89" s="5">
        <v>-33444000000</v>
      </c>
      <c r="E89" s="5">
        <v>-33444000000</v>
      </c>
      <c r="F89" s="5">
        <v>-33444000000</v>
      </c>
      <c r="G89" s="5">
        <v>-33444000000</v>
      </c>
      <c r="I89" s="5">
        <v>-33444000000</v>
      </c>
      <c r="J89" s="5">
        <v>-33444000000</v>
      </c>
      <c r="K89" s="5">
        <v>-44536000000</v>
      </c>
      <c r="L89" s="5">
        <v>-77590000000</v>
      </c>
      <c r="M89" s="5">
        <v>-225215000000</v>
      </c>
      <c r="N89" s="5">
        <v>-585804000000</v>
      </c>
      <c r="O89" s="5">
        <v>-164066000000</v>
      </c>
      <c r="P89" s="5">
        <v>-33444000000</v>
      </c>
      <c r="Q89" s="5">
        <v>-33444000000</v>
      </c>
      <c r="Y89" s="5">
        <v>127000000</v>
      </c>
      <c r="Z89" s="5">
        <v>127000000</v>
      </c>
    </row>
    <row r="90" spans="3:26" ht="15.5" x14ac:dyDescent="0.35">
      <c r="C90" t="s">
        <v>97</v>
      </c>
      <c r="D90" s="5">
        <v>9770714000000</v>
      </c>
      <c r="E90" s="5">
        <v>8662790000000</v>
      </c>
      <c r="F90" s="5">
        <v>9118640000000</v>
      </c>
      <c r="G90" s="5">
        <v>11413558000000</v>
      </c>
      <c r="I90" s="5">
        <v>8662790000000</v>
      </c>
      <c r="J90" s="5">
        <v>8433638000000</v>
      </c>
      <c r="K90" s="5">
        <v>7118202000000</v>
      </c>
      <c r="L90" s="5">
        <v>7390608000000</v>
      </c>
      <c r="M90" s="5">
        <v>9414208000000</v>
      </c>
      <c r="N90" s="5">
        <v>5937890000000</v>
      </c>
      <c r="O90" s="5">
        <v>4472011000000</v>
      </c>
      <c r="P90" s="5">
        <v>4500628000000</v>
      </c>
      <c r="Q90" s="5">
        <v>4245730000000</v>
      </c>
      <c r="R90" s="5">
        <v>4051544000000</v>
      </c>
      <c r="S90" s="5">
        <v>2814123000000</v>
      </c>
      <c r="T90" s="5">
        <v>2403615000000</v>
      </c>
      <c r="U90" s="5">
        <v>1691694000000</v>
      </c>
      <c r="V90" s="5">
        <v>1780395000000</v>
      </c>
      <c r="W90" s="5">
        <v>1886387000000</v>
      </c>
      <c r="X90" s="5">
        <v>2051177000000</v>
      </c>
      <c r="Y90" s="5">
        <v>1714426000000</v>
      </c>
      <c r="Z90" s="5">
        <v>1975656000000</v>
      </c>
    </row>
    <row r="91" spans="3:26" ht="15.5" x14ac:dyDescent="0.35">
      <c r="C91" t="s">
        <v>98</v>
      </c>
    </row>
    <row r="92" spans="3:26" ht="15.5" x14ac:dyDescent="0.35">
      <c r="C92" t="s">
        <v>330</v>
      </c>
      <c r="D92" s="5">
        <v>298369000000</v>
      </c>
      <c r="E92" s="5">
        <v>332868000000</v>
      </c>
      <c r="F92" s="5">
        <v>354651000000</v>
      </c>
      <c r="G92" s="5">
        <v>362927000000</v>
      </c>
      <c r="I92" s="5">
        <v>332868000000</v>
      </c>
      <c r="J92" s="5">
        <v>410417000000</v>
      </c>
      <c r="K92" s="5">
        <v>521754000000</v>
      </c>
      <c r="L92" s="5">
        <v>546531000000</v>
      </c>
      <c r="M92" s="5">
        <v>330904000000</v>
      </c>
      <c r="N92" s="5">
        <v>255530000000</v>
      </c>
      <c r="O92" s="5">
        <v>167067000000</v>
      </c>
      <c r="P92" s="5">
        <v>172966000000</v>
      </c>
      <c r="Q92" s="5">
        <v>188035000000</v>
      </c>
      <c r="R92" s="5">
        <v>271687000000</v>
      </c>
      <c r="S92" s="5">
        <v>109215000000</v>
      </c>
      <c r="T92" s="5">
        <v>29213000000</v>
      </c>
      <c r="U92" s="5">
        <v>8382000000</v>
      </c>
    </row>
    <row r="93" spans="3:26" ht="15.5" x14ac:dyDescent="0.35">
      <c r="C93" t="s">
        <v>103</v>
      </c>
      <c r="D93" s="5">
        <v>540696000000</v>
      </c>
      <c r="E93" s="5">
        <v>506489000000</v>
      </c>
      <c r="F93" s="5">
        <v>534660000000</v>
      </c>
      <c r="G93" s="5">
        <v>471493000000</v>
      </c>
      <c r="I93" s="5">
        <v>506489000000</v>
      </c>
      <c r="J93" s="5">
        <v>494411000000</v>
      </c>
      <c r="K93" s="5">
        <v>481033000000</v>
      </c>
      <c r="L93" s="5">
        <v>551273000000</v>
      </c>
      <c r="M93" s="5">
        <v>626433000000</v>
      </c>
      <c r="N93" s="5">
        <v>723020000000</v>
      </c>
      <c r="O93" s="5">
        <v>825031000000</v>
      </c>
      <c r="P93" s="5">
        <v>838940000000</v>
      </c>
      <c r="Q93" s="5">
        <v>994046000000</v>
      </c>
      <c r="R93" s="5">
        <v>1021615000000</v>
      </c>
      <c r="S93" s="5">
        <v>304729000000</v>
      </c>
      <c r="T93" s="5">
        <v>203957000000</v>
      </c>
      <c r="U93" s="5">
        <v>173891000000</v>
      </c>
      <c r="V93" s="5">
        <v>109036000000</v>
      </c>
      <c r="W93" s="5">
        <v>99613000000</v>
      </c>
      <c r="X93" s="5">
        <v>58291000000</v>
      </c>
      <c r="Y93" s="5">
        <v>92493000000</v>
      </c>
      <c r="Z93" s="5">
        <v>61501000000</v>
      </c>
    </row>
    <row r="94" spans="3:26" ht="15.5" x14ac:dyDescent="0.35">
      <c r="C94" t="s">
        <v>331</v>
      </c>
      <c r="D94" s="5">
        <v>7365454000000</v>
      </c>
      <c r="E94" s="5">
        <v>7384511000000</v>
      </c>
      <c r="F94" s="5">
        <v>7349318000000</v>
      </c>
      <c r="G94" s="5">
        <v>7388139000000</v>
      </c>
      <c r="I94" s="5">
        <v>7384511000000</v>
      </c>
      <c r="J94" s="5">
        <v>7464928000000</v>
      </c>
      <c r="K94" s="5">
        <v>7409796000000</v>
      </c>
      <c r="L94" s="5">
        <v>7310220000000</v>
      </c>
      <c r="M94" s="5">
        <v>7114471000000</v>
      </c>
      <c r="N94" s="5">
        <v>7005856000000</v>
      </c>
      <c r="O94" s="5">
        <v>6990512000000</v>
      </c>
      <c r="P94" s="5">
        <v>7048805000000</v>
      </c>
      <c r="Q94" s="5">
        <v>6747214000000</v>
      </c>
      <c r="R94" s="5">
        <v>6674902000000</v>
      </c>
      <c r="S94" s="5">
        <v>6686273000000</v>
      </c>
      <c r="T94" s="5">
        <v>6006852000000</v>
      </c>
      <c r="U94" s="5">
        <v>4973865000000</v>
      </c>
      <c r="V94" s="5">
        <v>4472873000000</v>
      </c>
      <c r="W94" s="5">
        <v>3795784000000</v>
      </c>
      <c r="X94" s="5">
        <v>3183878000000</v>
      </c>
      <c r="Y94" s="5">
        <v>2614018000000</v>
      </c>
      <c r="Z94" s="5">
        <v>1937276000000</v>
      </c>
    </row>
    <row r="95" spans="3:26" ht="15.5" x14ac:dyDescent="0.35">
      <c r="C95" t="s">
        <v>332</v>
      </c>
      <c r="D95" s="5">
        <v>5929520000000</v>
      </c>
      <c r="E95" s="5">
        <v>5994220000000</v>
      </c>
      <c r="F95" s="5">
        <v>5989818000000</v>
      </c>
      <c r="G95" s="5">
        <v>6124304000000</v>
      </c>
      <c r="I95" s="5">
        <v>5994220000000</v>
      </c>
      <c r="J95" s="5">
        <v>6032744000000</v>
      </c>
      <c r="K95" s="5">
        <v>5909770000000</v>
      </c>
      <c r="L95" s="5">
        <v>5674297000000</v>
      </c>
      <c r="M95" s="5">
        <v>5499864000000</v>
      </c>
      <c r="N95" s="5">
        <v>5461796000000</v>
      </c>
      <c r="O95" s="5">
        <v>5423078000000</v>
      </c>
      <c r="P95" s="5">
        <v>5681689000000</v>
      </c>
      <c r="Q95" s="5">
        <v>5154777000000</v>
      </c>
      <c r="R95" s="5">
        <v>4645579000000</v>
      </c>
      <c r="S95" s="5">
        <v>4098397000000</v>
      </c>
      <c r="T95" s="5">
        <v>3820764000000</v>
      </c>
      <c r="U95" s="5">
        <v>3352681000000</v>
      </c>
      <c r="V95" s="5">
        <v>2385573000000</v>
      </c>
      <c r="W95" s="5">
        <v>1351784000000</v>
      </c>
      <c r="X95" s="5">
        <v>1080670000000</v>
      </c>
      <c r="Y95" s="5">
        <v>729251000000</v>
      </c>
      <c r="Z95" s="5">
        <v>600653000000</v>
      </c>
    </row>
    <row r="96" spans="3:26" ht="15.5" x14ac:dyDescent="0.35">
      <c r="C96" t="s">
        <v>333</v>
      </c>
      <c r="D96" s="5">
        <v>1435934000000</v>
      </c>
      <c r="E96" s="5">
        <v>1390291000000</v>
      </c>
      <c r="F96" s="5">
        <v>1359500000000</v>
      </c>
      <c r="G96" s="5">
        <v>1263835000000</v>
      </c>
      <c r="I96" s="5">
        <v>1390291000000</v>
      </c>
      <c r="J96" s="5">
        <v>1432184000000</v>
      </c>
      <c r="K96" s="5">
        <v>1500026000000</v>
      </c>
      <c r="L96" s="5">
        <v>1635923000000</v>
      </c>
      <c r="M96" s="5">
        <v>1614607000000</v>
      </c>
      <c r="N96" s="5">
        <v>1544060000000</v>
      </c>
      <c r="O96" s="5">
        <v>1567434000000</v>
      </c>
      <c r="P96" s="5">
        <v>1367116000000</v>
      </c>
      <c r="Q96" s="5">
        <v>1592437000000</v>
      </c>
      <c r="R96" s="5">
        <v>2029323000000</v>
      </c>
      <c r="S96" s="5">
        <v>2587876000000</v>
      </c>
      <c r="T96" s="5">
        <v>2186088000000</v>
      </c>
      <c r="U96" s="5">
        <v>1621184000000</v>
      </c>
      <c r="V96" s="5">
        <v>2087300000000</v>
      </c>
      <c r="W96" s="5">
        <v>2444000000000</v>
      </c>
      <c r="X96" s="5">
        <v>2103208000000</v>
      </c>
      <c r="Y96" s="5">
        <v>1884767000000</v>
      </c>
      <c r="Z96" s="5">
        <v>1336623000000</v>
      </c>
    </row>
    <row r="97" spans="3:26" ht="15.5" x14ac:dyDescent="0.35">
      <c r="C97" t="s">
        <v>334</v>
      </c>
      <c r="D97" s="5">
        <v>7365454000000</v>
      </c>
      <c r="E97" s="5">
        <v>7384511000000</v>
      </c>
      <c r="F97" s="5">
        <v>7349318000000</v>
      </c>
      <c r="G97" s="5">
        <v>7388139000000</v>
      </c>
      <c r="I97" s="5">
        <v>7384511000000</v>
      </c>
      <c r="J97" s="5">
        <v>7464928000000</v>
      </c>
      <c r="K97" s="5">
        <v>7409796000000</v>
      </c>
      <c r="L97" s="5">
        <v>7310220000000</v>
      </c>
      <c r="M97" s="5">
        <v>7114471000000</v>
      </c>
      <c r="N97" s="5">
        <v>7005856000000</v>
      </c>
      <c r="O97" s="5">
        <v>6990512000000</v>
      </c>
      <c r="P97" s="5">
        <v>7048805000000</v>
      </c>
      <c r="Q97" s="5">
        <v>6747214000000</v>
      </c>
      <c r="R97" s="5">
        <v>6674902000000</v>
      </c>
      <c r="S97" s="5">
        <v>6686273000000</v>
      </c>
      <c r="T97" s="5">
        <v>6006852000000</v>
      </c>
      <c r="U97" s="5">
        <v>4973865000000</v>
      </c>
      <c r="V97" s="5">
        <v>4472873000000</v>
      </c>
      <c r="W97" s="5">
        <v>3795784000000</v>
      </c>
      <c r="X97" s="5">
        <v>3183878000000</v>
      </c>
      <c r="Y97" s="5">
        <v>2614018000000</v>
      </c>
      <c r="Z97" s="5">
        <v>1937276000000</v>
      </c>
    </row>
    <row r="98" spans="3:26" ht="15.5" x14ac:dyDescent="0.35">
      <c r="C98" t="s">
        <v>100</v>
      </c>
      <c r="D98" s="5">
        <v>7577554000000</v>
      </c>
      <c r="E98" s="5">
        <v>7781637000000</v>
      </c>
      <c r="F98" s="5">
        <v>7856631000000</v>
      </c>
      <c r="G98" s="5">
        <v>8052982000000</v>
      </c>
      <c r="I98" s="5">
        <v>7781637000000</v>
      </c>
      <c r="J98" s="5">
        <v>8456491000000</v>
      </c>
      <c r="K98" s="5">
        <v>8982236000000</v>
      </c>
      <c r="L98" s="5">
        <v>9104799000000</v>
      </c>
      <c r="M98" s="5">
        <v>9172225000000</v>
      </c>
      <c r="N98" s="5">
        <v>9242161000000</v>
      </c>
      <c r="O98" s="5">
        <v>9841623000000</v>
      </c>
      <c r="P98" s="5">
        <v>10219013000000</v>
      </c>
      <c r="Q98" s="5">
        <v>10152225000000</v>
      </c>
      <c r="R98" s="5">
        <v>10027968000000</v>
      </c>
      <c r="S98" s="5">
        <v>9361731000000</v>
      </c>
      <c r="T98" s="5">
        <v>8335003000000</v>
      </c>
      <c r="U98" s="5">
        <v>6493712000000</v>
      </c>
      <c r="V98" s="5">
        <v>4918673000000</v>
      </c>
      <c r="W98" s="5">
        <v>3534608000000</v>
      </c>
      <c r="X98" s="5">
        <v>2686910000000</v>
      </c>
      <c r="Y98" s="5">
        <v>2444959000000</v>
      </c>
      <c r="Z98" s="5">
        <v>2001772000000</v>
      </c>
    </row>
    <row r="99" spans="3:26" ht="15.5" x14ac:dyDescent="0.35">
      <c r="C99" t="s">
        <v>101</v>
      </c>
      <c r="D99" s="5">
        <v>55951000000</v>
      </c>
      <c r="E99" s="5">
        <v>55951000000</v>
      </c>
      <c r="F99" s="5">
        <v>55951000000</v>
      </c>
      <c r="G99" s="5">
        <v>55951000000</v>
      </c>
      <c r="I99" s="5">
        <v>55951000000</v>
      </c>
      <c r="J99" s="5">
        <v>55951000000</v>
      </c>
      <c r="K99" s="5">
        <v>55951000000</v>
      </c>
      <c r="L99" s="5">
        <v>55951000000</v>
      </c>
      <c r="M99" s="5">
        <v>55951000000</v>
      </c>
      <c r="N99" s="5">
        <v>55951000000</v>
      </c>
      <c r="O99" s="5">
        <v>55951000000</v>
      </c>
      <c r="P99" s="5">
        <v>55951000000</v>
      </c>
      <c r="Q99" s="5">
        <v>55951000000</v>
      </c>
      <c r="R99" s="5">
        <v>55951000000</v>
      </c>
      <c r="S99" s="5">
        <v>55951000000</v>
      </c>
      <c r="T99" s="5">
        <v>55951000000</v>
      </c>
      <c r="U99" s="5">
        <v>55951000000</v>
      </c>
      <c r="V99" s="5">
        <v>55951000000</v>
      </c>
      <c r="W99" s="5">
        <v>55951000000</v>
      </c>
      <c r="X99" s="5">
        <v>53327000000</v>
      </c>
      <c r="Y99" s="5">
        <v>61557000000</v>
      </c>
      <c r="Z99" s="5">
        <v>73953000000</v>
      </c>
    </row>
    <row r="100" spans="3:26" ht="15.5" x14ac:dyDescent="0.35">
      <c r="C100" t="s">
        <v>104</v>
      </c>
      <c r="D100" s="5">
        <v>18122641000000</v>
      </c>
      <c r="E100" s="5">
        <v>18384314000000</v>
      </c>
      <c r="F100" s="5">
        <v>18844540000000</v>
      </c>
      <c r="G100" s="5">
        <v>19091821000000</v>
      </c>
      <c r="I100" s="5">
        <v>18384314000000</v>
      </c>
      <c r="J100" s="5">
        <v>20359587000000</v>
      </c>
      <c r="K100" s="5">
        <v>21728041000000</v>
      </c>
      <c r="L100" s="5">
        <v>21858732000000</v>
      </c>
      <c r="M100" s="5">
        <v>20985698000000</v>
      </c>
      <c r="N100" s="5">
        <v>21843341000000</v>
      </c>
      <c r="O100" s="5">
        <v>22502113000000</v>
      </c>
      <c r="P100" s="5">
        <v>22356339000000</v>
      </c>
      <c r="Q100" s="5">
        <v>20689696000000</v>
      </c>
      <c r="R100" s="5">
        <v>20174578000000</v>
      </c>
      <c r="S100" s="5">
        <v>18698248000000</v>
      </c>
      <c r="T100" s="5">
        <v>16154714000000</v>
      </c>
      <c r="U100" s="5">
        <v>13271496000000</v>
      </c>
      <c r="V100" s="5">
        <v>10639425000000</v>
      </c>
      <c r="W100" s="5">
        <v>8318108000000</v>
      </c>
      <c r="X100" s="5">
        <v>6740622000000</v>
      </c>
      <c r="Y100" s="5">
        <v>5856973000000</v>
      </c>
      <c r="Z100" s="5">
        <v>4544135000000</v>
      </c>
    </row>
    <row r="101" spans="3:26" ht="15.5" x14ac:dyDescent="0.35">
      <c r="C101" t="s">
        <v>105</v>
      </c>
      <c r="D101" s="5">
        <v>27893355000000</v>
      </c>
      <c r="E101" s="5">
        <v>27047104000000</v>
      </c>
      <c r="F101" s="5">
        <v>27963180000000</v>
      </c>
      <c r="G101" s="5">
        <v>30505379000000</v>
      </c>
      <c r="I101" s="5">
        <v>27047104000000</v>
      </c>
      <c r="J101" s="5">
        <v>28793225000000</v>
      </c>
      <c r="K101" s="5">
        <v>28846243000000</v>
      </c>
      <c r="L101" s="5">
        <v>29249340000000</v>
      </c>
      <c r="M101" s="5">
        <v>30399906000000</v>
      </c>
      <c r="N101" s="5">
        <v>27781231000000</v>
      </c>
      <c r="O101" s="5">
        <v>26974124000000</v>
      </c>
      <c r="P101" s="5">
        <v>26856967000000</v>
      </c>
      <c r="Q101" s="5">
        <v>24935426000000</v>
      </c>
      <c r="R101" s="5">
        <v>24226122000000</v>
      </c>
      <c r="S101" s="5">
        <v>21512371000000</v>
      </c>
      <c r="T101" s="5">
        <v>18558329000000</v>
      </c>
      <c r="U101" s="5">
        <v>14963190000000</v>
      </c>
      <c r="V101" s="5">
        <v>12419820000000</v>
      </c>
      <c r="W101" s="5">
        <v>10204495000000</v>
      </c>
      <c r="X101" s="5">
        <v>8791799000000</v>
      </c>
      <c r="Y101" s="5">
        <v>7571399000000</v>
      </c>
      <c r="Z101" s="5">
        <v>6519791000000</v>
      </c>
    </row>
    <row r="102" spans="3:26" ht="15.5" x14ac:dyDescent="0.35">
      <c r="C102" t="s">
        <v>106</v>
      </c>
    </row>
    <row r="103" spans="3:26" ht="15.5" x14ac:dyDescent="0.35">
      <c r="C103" t="s">
        <v>107</v>
      </c>
    </row>
    <row r="104" spans="3:26" ht="15.5" x14ac:dyDescent="0.35">
      <c r="C104" t="s">
        <v>108</v>
      </c>
      <c r="D104" s="5">
        <v>2442686000000</v>
      </c>
      <c r="E104" s="5">
        <v>2000352000000</v>
      </c>
      <c r="F104" s="5">
        <v>3344273000000</v>
      </c>
      <c r="G104" s="5">
        <v>4556675000000</v>
      </c>
      <c r="I104" s="5">
        <v>2000352000000</v>
      </c>
      <c r="J104" s="5">
        <v>3237653000000</v>
      </c>
      <c r="K104" s="5">
        <v>3882141000000</v>
      </c>
      <c r="L104" s="5">
        <v>2052939000000</v>
      </c>
      <c r="M104" s="5">
        <v>5960396000000</v>
      </c>
      <c r="N104" s="5">
        <v>1792506000000</v>
      </c>
      <c r="O104" s="5">
        <v>1566765000000</v>
      </c>
      <c r="P104" s="5">
        <v>3076530000000</v>
      </c>
      <c r="Q104" s="5">
        <v>2309417000000</v>
      </c>
      <c r="R104" s="5">
        <v>3942967000000</v>
      </c>
      <c r="S104" s="5">
        <v>3522133000000</v>
      </c>
      <c r="T104" s="5">
        <v>4110955000000</v>
      </c>
      <c r="U104" s="5">
        <v>3759265000000</v>
      </c>
      <c r="V104" s="5">
        <v>2600540000000</v>
      </c>
      <c r="W104" s="5">
        <v>1440351000000</v>
      </c>
      <c r="X104" s="5">
        <v>1061852000000</v>
      </c>
      <c r="Y104" s="5">
        <v>938976000000</v>
      </c>
      <c r="Z104" s="5">
        <v>1016167000000</v>
      </c>
    </row>
    <row r="105" spans="3:26" ht="15.5" x14ac:dyDescent="0.35">
      <c r="C105" t="s">
        <v>109</v>
      </c>
    </row>
    <row r="106" spans="3:26" ht="15.5" x14ac:dyDescent="0.35">
      <c r="C106" t="s">
        <v>110</v>
      </c>
      <c r="D106" s="5">
        <v>893981000000</v>
      </c>
      <c r="E106" s="5">
        <v>911323000000</v>
      </c>
      <c r="F106" s="5">
        <v>801927000000</v>
      </c>
      <c r="G106" s="5">
        <v>1017352000000</v>
      </c>
      <c r="I106" s="5">
        <v>911323000000</v>
      </c>
      <c r="J106" s="5">
        <v>711443000000</v>
      </c>
      <c r="K106" s="5">
        <v>842064000000</v>
      </c>
      <c r="L106" s="5">
        <v>1224423000000</v>
      </c>
      <c r="M106" s="5">
        <v>1026717000000</v>
      </c>
      <c r="N106" s="5">
        <v>770264000000</v>
      </c>
      <c r="O106" s="5">
        <v>826845000000</v>
      </c>
      <c r="P106" s="5">
        <v>1088831000000</v>
      </c>
      <c r="Q106" s="5">
        <v>832513000000</v>
      </c>
      <c r="R106" s="5">
        <v>940108000000</v>
      </c>
      <c r="S106" s="5">
        <v>733535000000</v>
      </c>
      <c r="T106" s="5">
        <v>922942000000</v>
      </c>
      <c r="U106" s="5">
        <v>719632000000</v>
      </c>
      <c r="V106" s="5">
        <v>565421000000</v>
      </c>
      <c r="W106" s="5">
        <v>521839000000</v>
      </c>
      <c r="X106" s="5">
        <v>348847000000</v>
      </c>
      <c r="Y106" s="5">
        <v>238001000000</v>
      </c>
      <c r="Z106" s="5">
        <v>291455000000</v>
      </c>
    </row>
    <row r="107" spans="3:26" ht="15.5" x14ac:dyDescent="0.35">
      <c r="C107" t="s">
        <v>111</v>
      </c>
      <c r="D107" s="5">
        <v>396923000000</v>
      </c>
      <c r="E107" s="5">
        <v>106906000000</v>
      </c>
      <c r="F107" s="5">
        <v>1393504000000</v>
      </c>
      <c r="G107" s="5">
        <v>1128733000000</v>
      </c>
      <c r="I107" s="5">
        <v>106906000000</v>
      </c>
      <c r="J107" s="5">
        <v>138469000000</v>
      </c>
      <c r="K107" s="5">
        <v>89610000000</v>
      </c>
      <c r="L107" s="5">
        <v>96012000000</v>
      </c>
      <c r="M107" s="5">
        <v>132316000000</v>
      </c>
      <c r="N107" s="5">
        <v>164984000000</v>
      </c>
      <c r="O107" s="5">
        <v>152327000000</v>
      </c>
      <c r="P107" s="5">
        <v>155572000000</v>
      </c>
      <c r="Q107" s="5">
        <v>130891000000</v>
      </c>
      <c r="R107" s="5">
        <v>93921000000</v>
      </c>
      <c r="S107" s="5">
        <v>88523000000</v>
      </c>
      <c r="T107" s="5">
        <v>81640000000</v>
      </c>
      <c r="U107" s="5">
        <v>69309000000</v>
      </c>
      <c r="V107" s="5">
        <v>72668000000</v>
      </c>
      <c r="W107" s="5">
        <v>56149000000</v>
      </c>
      <c r="X107" s="5">
        <v>49122000000</v>
      </c>
      <c r="Y107" s="5">
        <v>107383000000</v>
      </c>
      <c r="Z107" s="5">
        <v>97961000000</v>
      </c>
    </row>
    <row r="108" spans="3:26" ht="15.5" x14ac:dyDescent="0.35">
      <c r="C108" t="s">
        <v>112</v>
      </c>
      <c r="D108" s="5">
        <v>470824000000</v>
      </c>
      <c r="E108" s="5">
        <v>399215000000</v>
      </c>
      <c r="F108" s="5">
        <v>241324000000</v>
      </c>
      <c r="G108" s="5">
        <v>152534000000</v>
      </c>
      <c r="I108" s="5">
        <v>399215000000</v>
      </c>
      <c r="J108" s="5">
        <v>226368000000</v>
      </c>
      <c r="K108" s="5">
        <v>120237000000</v>
      </c>
      <c r="L108" s="5">
        <v>225982000000</v>
      </c>
      <c r="M108" s="5">
        <v>575841000000</v>
      </c>
      <c r="N108" s="5">
        <v>222619000000</v>
      </c>
      <c r="O108" s="5">
        <v>91866000000</v>
      </c>
      <c r="P108" s="5">
        <v>137799000000</v>
      </c>
      <c r="Q108" s="5">
        <v>328460000000</v>
      </c>
      <c r="R108" s="5">
        <v>272697000000</v>
      </c>
      <c r="S108" s="5">
        <v>166082000000</v>
      </c>
      <c r="T108" s="5">
        <v>442658000000</v>
      </c>
      <c r="U108" s="5">
        <v>317463000000</v>
      </c>
      <c r="V108" s="5">
        <v>381999000000</v>
      </c>
      <c r="W108" s="5">
        <v>354787000000</v>
      </c>
      <c r="X108" s="5">
        <v>302455000000</v>
      </c>
      <c r="Y108" s="5">
        <v>297801000000</v>
      </c>
      <c r="Z108" s="5">
        <v>452036000000</v>
      </c>
    </row>
    <row r="109" spans="3:26" ht="15.5" x14ac:dyDescent="0.35">
      <c r="C109" t="s">
        <v>335</v>
      </c>
      <c r="O109" s="5">
        <v>150000000000</v>
      </c>
      <c r="P109" s="5">
        <v>1125000000000</v>
      </c>
      <c r="Q109" s="5">
        <v>600000000000</v>
      </c>
      <c r="R109" s="5">
        <v>400000000000</v>
      </c>
      <c r="S109" s="5">
        <v>700000000000</v>
      </c>
      <c r="T109" s="5">
        <v>632367000000</v>
      </c>
      <c r="U109" s="5">
        <v>342816000000</v>
      </c>
    </row>
    <row r="110" spans="3:26" ht="15.5" x14ac:dyDescent="0.35">
      <c r="C110" t="s">
        <v>115</v>
      </c>
    </row>
    <row r="111" spans="3:26" ht="15.5" x14ac:dyDescent="0.35">
      <c r="C111" t="s">
        <v>336</v>
      </c>
      <c r="F111" s="5">
        <v>90000000000</v>
      </c>
      <c r="G111" s="5">
        <v>1689879000000</v>
      </c>
      <c r="J111" s="5">
        <v>1689537000000</v>
      </c>
      <c r="K111" s="5">
        <v>2315298000000</v>
      </c>
      <c r="L111" s="5">
        <v>5000000000</v>
      </c>
      <c r="M111" s="5">
        <v>3564461000000</v>
      </c>
      <c r="R111" s="5">
        <v>1585213000000</v>
      </c>
      <c r="S111" s="5">
        <v>1324860000000</v>
      </c>
      <c r="T111" s="5">
        <v>1666808000000</v>
      </c>
      <c r="U111" s="5">
        <v>1808765000000</v>
      </c>
      <c r="V111" s="5">
        <v>971950000000</v>
      </c>
    </row>
    <row r="112" spans="3:26" ht="15.5" x14ac:dyDescent="0.35">
      <c r="C112" t="s">
        <v>118</v>
      </c>
      <c r="F112" s="5">
        <v>90000000000</v>
      </c>
      <c r="G112" s="5">
        <v>1689879000000</v>
      </c>
      <c r="J112" s="5">
        <v>1689537000000</v>
      </c>
      <c r="K112" s="5">
        <v>2315298000000</v>
      </c>
      <c r="L112" s="5">
        <v>5000000000</v>
      </c>
      <c r="M112" s="5">
        <v>3564461000000</v>
      </c>
      <c r="R112" s="5">
        <v>1585213000000</v>
      </c>
      <c r="S112" s="5">
        <v>1324860000000</v>
      </c>
      <c r="T112" s="5">
        <v>1666808000000</v>
      </c>
      <c r="U112" s="5">
        <v>1808765000000</v>
      </c>
      <c r="V112" s="5">
        <v>971950000000</v>
      </c>
    </row>
    <row r="113" spans="3:26" ht="15.5" x14ac:dyDescent="0.35">
      <c r="C113" t="s">
        <v>121</v>
      </c>
      <c r="D113" s="5">
        <v>917152000000</v>
      </c>
      <c r="E113" s="5">
        <v>889118000000</v>
      </c>
      <c r="F113" s="5">
        <v>920727000000</v>
      </c>
      <c r="G113" s="5">
        <v>2399111000000</v>
      </c>
      <c r="I113" s="5">
        <v>889118000000</v>
      </c>
      <c r="J113" s="5">
        <v>2353510000000</v>
      </c>
      <c r="K113" s="5">
        <v>2398096000000</v>
      </c>
      <c r="L113" s="5">
        <v>4953180000000</v>
      </c>
      <c r="M113" s="5">
        <v>3268337000000</v>
      </c>
      <c r="N113" s="5">
        <v>6740931000000</v>
      </c>
      <c r="O113" s="5">
        <v>6428832000000</v>
      </c>
      <c r="P113" s="5">
        <v>4305915000000</v>
      </c>
      <c r="Q113" s="5">
        <v>4089571000000</v>
      </c>
      <c r="R113" s="5">
        <v>2689673000000</v>
      </c>
      <c r="S113" s="5">
        <v>6291451000000</v>
      </c>
      <c r="T113" s="5">
        <v>2609888000000</v>
      </c>
      <c r="U113" s="5">
        <v>936066000000</v>
      </c>
      <c r="V113" s="5">
        <v>453869000000</v>
      </c>
      <c r="W113" s="5">
        <v>337986000000</v>
      </c>
      <c r="X113" s="5">
        <v>272690000000</v>
      </c>
      <c r="Y113" s="5">
        <v>205807000000</v>
      </c>
      <c r="Z113" s="5">
        <v>167048000000</v>
      </c>
    </row>
    <row r="114" spans="3:26" ht="15.5" x14ac:dyDescent="0.35">
      <c r="C114" t="s">
        <v>122</v>
      </c>
      <c r="D114" s="5">
        <v>917152000000</v>
      </c>
      <c r="E114" s="5">
        <v>889118000000</v>
      </c>
      <c r="F114" s="5">
        <v>920727000000</v>
      </c>
      <c r="G114" s="5">
        <v>2399111000000</v>
      </c>
      <c r="I114" s="5">
        <v>889118000000</v>
      </c>
      <c r="J114" s="5">
        <v>2353510000000</v>
      </c>
      <c r="K114" s="5">
        <v>2398096000000</v>
      </c>
      <c r="L114" s="5">
        <v>4953180000000</v>
      </c>
      <c r="M114" s="5">
        <v>3268337000000</v>
      </c>
      <c r="N114" s="5">
        <v>6740931000000</v>
      </c>
      <c r="O114" s="5">
        <v>6428832000000</v>
      </c>
      <c r="P114" s="5">
        <v>4305915000000</v>
      </c>
      <c r="Q114" s="5">
        <v>4089571000000</v>
      </c>
      <c r="R114" s="5">
        <v>2689673000000</v>
      </c>
      <c r="S114" s="5">
        <v>6291451000000</v>
      </c>
      <c r="T114" s="5">
        <v>2609888000000</v>
      </c>
      <c r="U114" s="5">
        <v>936066000000</v>
      </c>
      <c r="V114" s="5">
        <v>453869000000</v>
      </c>
      <c r="W114" s="5">
        <v>337986000000</v>
      </c>
      <c r="X114" s="5">
        <v>272690000000</v>
      </c>
      <c r="Y114" s="5">
        <v>205807000000</v>
      </c>
      <c r="Z114" s="5">
        <v>167048000000</v>
      </c>
    </row>
    <row r="115" spans="3:26" ht="15.5" x14ac:dyDescent="0.35">
      <c r="C115" t="s">
        <v>337</v>
      </c>
      <c r="G115" s="5">
        <v>1500000000000</v>
      </c>
      <c r="J115" s="5">
        <v>1500000000000</v>
      </c>
      <c r="K115" s="5">
        <v>1689754000000</v>
      </c>
      <c r="L115" s="5">
        <v>4048767000000</v>
      </c>
      <c r="M115" s="5">
        <v>2131944000000</v>
      </c>
      <c r="N115" s="5">
        <v>5623933000000</v>
      </c>
      <c r="O115" s="5">
        <v>5535466000000</v>
      </c>
      <c r="P115" s="5">
        <v>3606303000000</v>
      </c>
      <c r="Q115" s="5">
        <v>3369334000000</v>
      </c>
      <c r="R115" s="5">
        <v>2115811000000</v>
      </c>
      <c r="S115" s="5">
        <v>5707964000000</v>
      </c>
      <c r="T115" s="5">
        <v>2127758000000</v>
      </c>
      <c r="U115" s="5">
        <v>571359000000</v>
      </c>
    </row>
    <row r="116" spans="3:26" ht="15.5" x14ac:dyDescent="0.35">
      <c r="C116" t="s">
        <v>126</v>
      </c>
      <c r="D116" s="5">
        <v>172456000000</v>
      </c>
      <c r="E116" s="5">
        <v>199789000000</v>
      </c>
      <c r="F116" s="5">
        <v>208172000000</v>
      </c>
      <c r="G116" s="5">
        <v>221852000000</v>
      </c>
      <c r="I116" s="5">
        <v>199789000000</v>
      </c>
      <c r="J116" s="5">
        <v>223803000000</v>
      </c>
      <c r="K116" s="5">
        <v>239365000000</v>
      </c>
      <c r="L116" s="5">
        <v>221288000000</v>
      </c>
      <c r="M116" s="5">
        <v>209251000000</v>
      </c>
      <c r="N116" s="5">
        <v>133160000000</v>
      </c>
      <c r="O116" s="5">
        <v>142484000000</v>
      </c>
      <c r="P116" s="5">
        <v>116217000000</v>
      </c>
      <c r="Q116" s="5">
        <v>80668000000</v>
      </c>
      <c r="R116" s="5">
        <v>56977000000</v>
      </c>
      <c r="S116" s="5">
        <v>70564000000</v>
      </c>
      <c r="T116" s="5">
        <v>59306000000</v>
      </c>
      <c r="U116" s="5">
        <v>36138000000</v>
      </c>
      <c r="V116" s="5">
        <v>29114000000</v>
      </c>
      <c r="W116" s="5">
        <v>33321000000</v>
      </c>
      <c r="X116" s="5">
        <v>36945000000</v>
      </c>
      <c r="Y116" s="5">
        <v>32022000000</v>
      </c>
      <c r="Z116" s="5">
        <v>26735000000</v>
      </c>
    </row>
    <row r="117" spans="3:26" ht="15.5" x14ac:dyDescent="0.35">
      <c r="C117" t="s">
        <v>128</v>
      </c>
      <c r="D117" s="5">
        <v>3359838000000</v>
      </c>
      <c r="E117" s="5">
        <v>2889470000000</v>
      </c>
      <c r="F117" s="5">
        <v>4265000000000</v>
      </c>
      <c r="G117" s="5">
        <v>6955786000000</v>
      </c>
      <c r="I117" s="5">
        <v>2889470000000</v>
      </c>
      <c r="J117" s="5">
        <v>5591163000000</v>
      </c>
      <c r="K117" s="5">
        <v>6280237000000</v>
      </c>
      <c r="L117" s="5">
        <v>7006119000000</v>
      </c>
      <c r="M117" s="5">
        <v>9228733000000</v>
      </c>
      <c r="N117" s="5">
        <v>8533437000000</v>
      </c>
      <c r="O117" s="5">
        <v>7995597000000</v>
      </c>
      <c r="P117" s="5">
        <v>7382445000000</v>
      </c>
      <c r="Q117" s="5">
        <v>6398988000000</v>
      </c>
      <c r="R117" s="5">
        <v>6632640000000</v>
      </c>
      <c r="S117" s="5">
        <v>9813584000000</v>
      </c>
      <c r="T117" s="5">
        <v>6720843000000</v>
      </c>
      <c r="U117" s="5">
        <v>4695331000000</v>
      </c>
      <c r="V117" s="5">
        <v>3054409000000</v>
      </c>
      <c r="W117" s="5">
        <v>1778337000000</v>
      </c>
      <c r="X117" s="5">
        <v>1334542000000</v>
      </c>
      <c r="Y117" s="5">
        <v>1144783000000</v>
      </c>
      <c r="Z117" s="5">
        <v>1183215000000</v>
      </c>
    </row>
    <row r="118" spans="3:26" ht="15.5" x14ac:dyDescent="0.35">
      <c r="C118" t="s">
        <v>129</v>
      </c>
    </row>
    <row r="119" spans="3:26" ht="15.5" x14ac:dyDescent="0.35">
      <c r="C119" t="s">
        <v>130</v>
      </c>
      <c r="D119" s="5">
        <v>962344000000</v>
      </c>
      <c r="E119" s="5">
        <v>962344000000</v>
      </c>
      <c r="F119" s="5">
        <v>962344000000</v>
      </c>
      <c r="G119" s="5">
        <v>962344000000</v>
      </c>
      <c r="I119" s="5">
        <v>962344000000</v>
      </c>
      <c r="J119" s="5">
        <v>962344000000</v>
      </c>
      <c r="K119" s="5">
        <v>962344000000</v>
      </c>
      <c r="L119" s="5">
        <v>962344000000</v>
      </c>
      <c r="M119" s="5">
        <v>962344000000</v>
      </c>
      <c r="N119" s="5">
        <v>962344000000</v>
      </c>
      <c r="O119" s="5">
        <v>962344000000</v>
      </c>
      <c r="P119" s="5">
        <v>962344000000</v>
      </c>
      <c r="Q119" s="5">
        <v>962344000000</v>
      </c>
      <c r="R119" s="5">
        <v>962344000000</v>
      </c>
      <c r="S119" s="5">
        <v>787373000000</v>
      </c>
      <c r="T119" s="5">
        <v>787373000000</v>
      </c>
      <c r="U119" s="5">
        <v>787373000000</v>
      </c>
      <c r="V119" s="5">
        <v>787373000000</v>
      </c>
      <c r="W119" s="5">
        <v>787373000000</v>
      </c>
      <c r="X119" s="5">
        <v>787373000000</v>
      </c>
      <c r="Y119" s="5">
        <v>787373000000</v>
      </c>
      <c r="Z119" s="5">
        <v>787373000000</v>
      </c>
    </row>
    <row r="120" spans="3:26" ht="15.5" x14ac:dyDescent="0.35">
      <c r="C120" t="s">
        <v>131</v>
      </c>
      <c r="D120" s="5">
        <v>3878995000000</v>
      </c>
      <c r="E120" s="5">
        <v>3878995000000</v>
      </c>
      <c r="F120" s="5">
        <v>3878995000000</v>
      </c>
      <c r="G120" s="5">
        <v>3878995000000</v>
      </c>
      <c r="I120" s="5">
        <v>3878995000000</v>
      </c>
      <c r="J120" s="5">
        <v>3878995000000</v>
      </c>
      <c r="K120" s="5">
        <v>3878995000000</v>
      </c>
      <c r="L120" s="5">
        <v>3878995000000</v>
      </c>
      <c r="M120" s="5">
        <v>3878995000000</v>
      </c>
      <c r="N120" s="5">
        <v>3878995000000</v>
      </c>
      <c r="O120" s="5">
        <v>3878995000000</v>
      </c>
      <c r="P120" s="5">
        <v>3878995000000</v>
      </c>
      <c r="Q120" s="5">
        <v>3878995000000</v>
      </c>
      <c r="R120" s="5">
        <v>3878995000000</v>
      </c>
      <c r="S120" s="5">
        <v>83603000000</v>
      </c>
      <c r="T120" s="5">
        <v>83603000000</v>
      </c>
      <c r="U120" s="5">
        <v>83603000000</v>
      </c>
      <c r="V120" s="5">
        <v>83603000000</v>
      </c>
      <c r="W120" s="5">
        <v>157500000000</v>
      </c>
      <c r="X120" s="5">
        <v>157500000000</v>
      </c>
      <c r="Y120" s="5">
        <v>83476000000</v>
      </c>
      <c r="Z120" s="5">
        <v>83476000000</v>
      </c>
    </row>
    <row r="121" spans="3:26" ht="15.5" x14ac:dyDescent="0.35">
      <c r="C121" t="s">
        <v>132</v>
      </c>
      <c r="D121" s="5">
        <v>19109485000000</v>
      </c>
      <c r="E121" s="5">
        <v>18748242000000</v>
      </c>
      <c r="F121" s="5">
        <v>18313259000000</v>
      </c>
      <c r="G121" s="5">
        <v>18182002000000</v>
      </c>
      <c r="I121" s="5">
        <v>18748242000000</v>
      </c>
      <c r="J121" s="5">
        <v>17834023000000</v>
      </c>
      <c r="K121" s="5">
        <v>17219242000000</v>
      </c>
      <c r="L121" s="5">
        <v>16920288000000</v>
      </c>
      <c r="M121" s="5">
        <v>16003068000000</v>
      </c>
      <c r="N121" s="5">
        <v>14496958000000</v>
      </c>
      <c r="O121" s="5">
        <v>13843880000000</v>
      </c>
      <c r="P121" s="5">
        <v>14181734000000</v>
      </c>
      <c r="Q121" s="5">
        <v>13258048000000</v>
      </c>
      <c r="R121" s="5">
        <v>12293945000000</v>
      </c>
      <c r="S121" s="5">
        <v>10413840000000</v>
      </c>
      <c r="T121" s="5">
        <v>10548430000000</v>
      </c>
      <c r="U121" s="5">
        <v>9023626000000</v>
      </c>
      <c r="V121" s="5">
        <v>8158203000000</v>
      </c>
      <c r="W121" s="5">
        <v>7194742000000</v>
      </c>
      <c r="X121" s="5">
        <v>6266814000000</v>
      </c>
      <c r="Y121" s="5">
        <v>5355389000000</v>
      </c>
      <c r="Z121" s="5">
        <v>4285269000000</v>
      </c>
    </row>
    <row r="122" spans="3:26" ht="15.5" x14ac:dyDescent="0.35">
      <c r="C122" t="s">
        <v>133</v>
      </c>
      <c r="D122" s="5">
        <v>192500000000</v>
      </c>
      <c r="E122" s="5">
        <v>192500000000</v>
      </c>
      <c r="F122" s="5">
        <v>192500000000</v>
      </c>
      <c r="G122" s="5">
        <v>192500000000</v>
      </c>
      <c r="I122" s="5">
        <v>192500000000</v>
      </c>
      <c r="J122" s="5">
        <v>192500000000</v>
      </c>
      <c r="K122" s="5">
        <v>192500000000</v>
      </c>
      <c r="L122" s="5">
        <v>192500000000</v>
      </c>
      <c r="M122" s="5">
        <v>192500000000</v>
      </c>
      <c r="N122" s="5">
        <v>192500000000</v>
      </c>
      <c r="O122" s="5">
        <v>192500000000</v>
      </c>
      <c r="P122" s="5">
        <v>192500000000</v>
      </c>
      <c r="Q122" s="5">
        <v>192500000000</v>
      </c>
      <c r="R122" s="5">
        <v>157500000000</v>
      </c>
      <c r="S122" s="5">
        <v>157500000000</v>
      </c>
      <c r="T122" s="5">
        <v>157500000000</v>
      </c>
      <c r="U122" s="5">
        <v>157500000000</v>
      </c>
      <c r="V122" s="5">
        <v>157500000000</v>
      </c>
      <c r="W122" s="5">
        <v>7111139000000</v>
      </c>
      <c r="X122" s="5">
        <v>6183211000000</v>
      </c>
      <c r="Y122" s="5">
        <v>157500000000</v>
      </c>
      <c r="Z122" s="5">
        <v>157500000000</v>
      </c>
    </row>
    <row r="123" spans="3:26" ht="15.5" x14ac:dyDescent="0.35">
      <c r="C123" t="s">
        <v>134</v>
      </c>
      <c r="D123" s="5">
        <v>18916985000000</v>
      </c>
      <c r="E123" s="5">
        <v>18555742000000</v>
      </c>
      <c r="F123" s="5">
        <v>18120759000000</v>
      </c>
      <c r="G123" s="5">
        <v>17989502000000</v>
      </c>
      <c r="I123" s="5">
        <v>18555742000000</v>
      </c>
      <c r="J123" s="5">
        <v>17641523000000</v>
      </c>
      <c r="K123" s="5">
        <v>17026742000000</v>
      </c>
      <c r="L123" s="5">
        <v>16727788000000</v>
      </c>
      <c r="M123" s="5">
        <v>15810568000000</v>
      </c>
      <c r="N123" s="5">
        <v>14304458000000</v>
      </c>
      <c r="O123" s="5">
        <v>13651380000000</v>
      </c>
      <c r="P123" s="5">
        <v>13989234000000</v>
      </c>
      <c r="Q123" s="5">
        <v>13065548000000</v>
      </c>
      <c r="R123" s="5">
        <v>12136445000000</v>
      </c>
      <c r="S123" s="5">
        <v>10256340000000</v>
      </c>
      <c r="T123" s="5">
        <v>10390930000000</v>
      </c>
      <c r="U123" s="5">
        <v>8866126000000</v>
      </c>
      <c r="V123" s="5">
        <v>8000703000000</v>
      </c>
      <c r="W123" s="5">
        <v>83603000000</v>
      </c>
      <c r="X123" s="5">
        <v>83603000000</v>
      </c>
      <c r="Y123" s="5">
        <v>5197889000000</v>
      </c>
      <c r="Z123" s="5">
        <v>4127769000000</v>
      </c>
    </row>
    <row r="124" spans="3:26" ht="15.5" x14ac:dyDescent="0.35">
      <c r="C124" t="s">
        <v>135</v>
      </c>
      <c r="D124" s="5">
        <v>19109485000000</v>
      </c>
      <c r="E124" s="5">
        <v>18748242000000</v>
      </c>
      <c r="F124" s="5">
        <v>18313259000000</v>
      </c>
      <c r="G124" s="5">
        <v>18182002000000</v>
      </c>
      <c r="I124" s="5">
        <v>18748242000000</v>
      </c>
      <c r="J124" s="5">
        <v>17834023000000</v>
      </c>
      <c r="K124" s="5">
        <v>17219242000000</v>
      </c>
      <c r="L124" s="5">
        <v>16920288000000</v>
      </c>
      <c r="M124" s="5">
        <v>16003068000000</v>
      </c>
      <c r="N124" s="5">
        <v>14496958000000</v>
      </c>
      <c r="O124" s="5">
        <v>13843880000000</v>
      </c>
      <c r="P124" s="5">
        <v>14181734000000</v>
      </c>
      <c r="Q124" s="5">
        <v>13258048000000</v>
      </c>
      <c r="R124" s="5">
        <v>12293945000000</v>
      </c>
      <c r="S124" s="5">
        <v>10413840000000</v>
      </c>
      <c r="T124" s="5">
        <v>10548430000000</v>
      </c>
      <c r="U124" s="5">
        <v>9023626000000</v>
      </c>
      <c r="V124" s="5">
        <v>8158203000000</v>
      </c>
      <c r="W124" s="5">
        <v>7194742000000</v>
      </c>
      <c r="X124" s="5">
        <v>6266814000000</v>
      </c>
      <c r="Y124" s="5">
        <v>5355389000000</v>
      </c>
      <c r="Z124" s="5">
        <v>4285269000000</v>
      </c>
    </row>
    <row r="125" spans="3:26" ht="15.5" x14ac:dyDescent="0.35">
      <c r="C125" t="s">
        <v>136</v>
      </c>
      <c r="D125" s="5">
        <v>616137000000</v>
      </c>
      <c r="E125" s="5">
        <v>601497000000</v>
      </c>
      <c r="F125" s="5">
        <v>577026000000</v>
      </c>
      <c r="G125" s="5">
        <v>559696000000</v>
      </c>
      <c r="I125" s="5">
        <v>601497000000</v>
      </c>
      <c r="J125" s="5">
        <v>560144000000</v>
      </c>
      <c r="K125" s="5">
        <v>549961000000</v>
      </c>
      <c r="L125" s="5">
        <v>559184000000</v>
      </c>
      <c r="M125" s="5">
        <v>551981000000</v>
      </c>
      <c r="N125" s="5">
        <v>495301000000</v>
      </c>
      <c r="O125" s="5">
        <v>457374000000</v>
      </c>
      <c r="P125" s="5">
        <v>484893000000</v>
      </c>
      <c r="Q125" s="5">
        <v>470495000000</v>
      </c>
      <c r="R125" s="5">
        <v>458198000000</v>
      </c>
      <c r="S125" s="5">
        <v>413971000000</v>
      </c>
      <c r="T125" s="5">
        <v>418080000000</v>
      </c>
      <c r="U125" s="5">
        <v>373257000000</v>
      </c>
      <c r="V125" s="5">
        <v>336232000000</v>
      </c>
      <c r="W125" s="5">
        <v>286543000000</v>
      </c>
      <c r="X125" s="5">
        <v>245570000000</v>
      </c>
      <c r="Y125" s="5">
        <v>200251000000</v>
      </c>
      <c r="Z125" s="5">
        <v>180331000000</v>
      </c>
    </row>
    <row r="126" spans="3:26" ht="15.5" x14ac:dyDescent="0.35">
      <c r="C126" t="s">
        <v>8</v>
      </c>
      <c r="D126" s="5">
        <v>24533517000000</v>
      </c>
      <c r="E126" s="5">
        <v>24157634000000</v>
      </c>
      <c r="F126" s="5">
        <v>23698180000000</v>
      </c>
      <c r="G126" s="5">
        <v>23549593000000</v>
      </c>
      <c r="I126" s="5">
        <v>24157634000000</v>
      </c>
      <c r="J126" s="5">
        <v>23202062000000</v>
      </c>
      <c r="K126" s="5">
        <v>22566006000000</v>
      </c>
      <c r="L126" s="5">
        <v>22243221000000</v>
      </c>
      <c r="M126" s="5">
        <v>21171173000000</v>
      </c>
      <c r="N126" s="5">
        <v>19247794000000</v>
      </c>
      <c r="O126" s="5">
        <v>18978527000000</v>
      </c>
      <c r="P126" s="5">
        <v>19474522000000</v>
      </c>
      <c r="Q126" s="5">
        <v>18536438000000</v>
      </c>
      <c r="R126" s="5">
        <v>17593482000000</v>
      </c>
      <c r="S126" s="5">
        <v>11698787000000</v>
      </c>
      <c r="T126" s="5">
        <v>11837486000000</v>
      </c>
      <c r="U126" s="5">
        <v>10267859000000</v>
      </c>
      <c r="V126" s="5">
        <v>9365411000000</v>
      </c>
      <c r="W126" s="5">
        <v>8426158000000</v>
      </c>
      <c r="X126" s="5">
        <v>7457257000000</v>
      </c>
      <c r="Y126" s="5">
        <v>6426616000000</v>
      </c>
      <c r="Z126" s="5">
        <v>5336576000000</v>
      </c>
    </row>
    <row r="127" spans="3:26" ht="15.5" x14ac:dyDescent="0.35">
      <c r="C127" t="s">
        <v>137</v>
      </c>
      <c r="D127" s="5">
        <v>27893355000000</v>
      </c>
      <c r="E127" s="5">
        <v>27047104000000</v>
      </c>
      <c r="F127" s="5">
        <v>27963180000000</v>
      </c>
      <c r="G127" s="5">
        <v>30505379000000</v>
      </c>
      <c r="I127" s="5">
        <v>27047104000000</v>
      </c>
      <c r="J127" s="5">
        <v>28793225000000</v>
      </c>
      <c r="K127" s="5">
        <v>28846243000000</v>
      </c>
      <c r="L127" s="5">
        <v>29249340000000</v>
      </c>
      <c r="M127" s="5">
        <v>30399906000000</v>
      </c>
      <c r="N127" s="5">
        <v>27781231000000</v>
      </c>
      <c r="O127" s="5">
        <v>26974124000000</v>
      </c>
      <c r="P127" s="5">
        <v>26856967000000</v>
      </c>
      <c r="Q127" s="5">
        <v>24935426000000</v>
      </c>
      <c r="R127" s="5">
        <v>24226122000000</v>
      </c>
      <c r="S127" s="5">
        <v>21512371000000</v>
      </c>
      <c r="T127" s="5">
        <v>18558329000000</v>
      </c>
      <c r="U127" s="5">
        <v>14963190000000</v>
      </c>
      <c r="V127" s="5">
        <v>12419820000000</v>
      </c>
      <c r="W127" s="5">
        <v>10204495000000</v>
      </c>
      <c r="X127" s="5">
        <v>8791799000000</v>
      </c>
      <c r="Y127" s="5">
        <v>7571399000000</v>
      </c>
      <c r="Z127" s="5">
        <v>6519791000000</v>
      </c>
    </row>
    <row r="128" spans="3:26" ht="15.5" x14ac:dyDescent="0.35">
      <c r="C128" t="s">
        <v>138</v>
      </c>
      <c r="D128" s="5">
        <v>1924688333</v>
      </c>
      <c r="E128" s="5">
        <v>1924688333</v>
      </c>
      <c r="F128" s="5">
        <v>1924688333</v>
      </c>
      <c r="G128" s="5">
        <v>1924688333</v>
      </c>
      <c r="I128" s="5">
        <v>1924688333</v>
      </c>
      <c r="J128" s="5">
        <v>1924688333</v>
      </c>
      <c r="K128" s="5">
        <v>1924688333</v>
      </c>
      <c r="L128" s="5">
        <v>1924688333</v>
      </c>
      <c r="M128" s="5">
        <v>1924688333</v>
      </c>
      <c r="N128" s="5">
        <v>1924688333</v>
      </c>
      <c r="O128" s="5">
        <v>1924688333</v>
      </c>
      <c r="P128" s="5">
        <v>1924688333</v>
      </c>
      <c r="Q128" s="5">
        <v>1924688333</v>
      </c>
      <c r="R128" s="5">
        <v>1924688333</v>
      </c>
      <c r="S128" s="5">
        <v>1574745000</v>
      </c>
      <c r="T128" s="5">
        <v>1574745000</v>
      </c>
      <c r="U128" s="5">
        <v>1574745000</v>
      </c>
      <c r="V128" s="5">
        <v>1574745000</v>
      </c>
      <c r="W128" s="5">
        <v>1574745000</v>
      </c>
      <c r="X128" s="5">
        <v>1574745000</v>
      </c>
      <c r="Y128" s="5">
        <v>1574745000</v>
      </c>
      <c r="Z128" s="5">
        <v>1574745000</v>
      </c>
    </row>
    <row r="130" spans="2:26" ht="15.5" x14ac:dyDescent="0.35">
      <c r="B130" t="s">
        <v>139</v>
      </c>
      <c r="C130" t="s">
        <v>140</v>
      </c>
      <c r="D130" s="5">
        <v>2084066000000</v>
      </c>
      <c r="E130" s="5">
        <v>-1545774000000</v>
      </c>
      <c r="F130" s="5">
        <v>1908655000000</v>
      </c>
      <c r="G130" s="5">
        <v>1531898000000</v>
      </c>
      <c r="I130" s="5">
        <v>4210590000000</v>
      </c>
      <c r="J130" s="5">
        <v>3379195000000</v>
      </c>
      <c r="K130" s="5">
        <v>2538738000000</v>
      </c>
      <c r="L130" s="5">
        <v>1835397000000</v>
      </c>
      <c r="M130" s="5">
        <v>4895119000000</v>
      </c>
      <c r="N130" s="5">
        <v>2322164000000</v>
      </c>
      <c r="O130" s="5">
        <v>1292353000000</v>
      </c>
      <c r="P130" s="5">
        <v>2045235000000</v>
      </c>
      <c r="Q130" s="5">
        <v>2841822000000</v>
      </c>
      <c r="R130" s="5">
        <v>2511823000000</v>
      </c>
      <c r="S130" s="5">
        <v>1027773000000</v>
      </c>
      <c r="T130" s="5">
        <v>3022020000000</v>
      </c>
      <c r="U130" s="5">
        <v>3156531000000</v>
      </c>
      <c r="V130" s="5">
        <v>2609511000000</v>
      </c>
      <c r="W130" s="5">
        <v>3162475000000</v>
      </c>
      <c r="X130" s="5">
        <v>2946657000000</v>
      </c>
      <c r="Y130" s="5">
        <v>1984894000000</v>
      </c>
      <c r="Z130" s="5">
        <v>2087429000000</v>
      </c>
    </row>
    <row r="131" spans="2:26" ht="15.5" x14ac:dyDescent="0.35">
      <c r="C131" t="s">
        <v>338</v>
      </c>
      <c r="D131" s="5">
        <v>7857735000000</v>
      </c>
      <c r="E131" s="5">
        <v>5829878000000</v>
      </c>
      <c r="F131" s="5">
        <v>8040052000000</v>
      </c>
      <c r="G131" s="5">
        <v>7034993000000</v>
      </c>
      <c r="I131" s="5">
        <v>27943563000000</v>
      </c>
      <c r="J131" s="5">
        <v>22126286000000</v>
      </c>
      <c r="K131" s="5">
        <v>20887611000000</v>
      </c>
      <c r="L131" s="5">
        <v>21267225000000</v>
      </c>
      <c r="M131" s="5">
        <v>24909734000000</v>
      </c>
      <c r="N131" s="5">
        <v>18376924000000</v>
      </c>
      <c r="O131" s="5">
        <v>17414370000000</v>
      </c>
      <c r="P131" s="5">
        <v>19118173000000</v>
      </c>
      <c r="Q131" s="5">
        <v>17018349000000</v>
      </c>
      <c r="R131" s="5">
        <v>13756286000000</v>
      </c>
      <c r="S131" s="5">
        <v>13177433000000</v>
      </c>
      <c r="T131" s="5">
        <v>16084254000000</v>
      </c>
      <c r="U131" s="5">
        <v>12647946000000</v>
      </c>
      <c r="V131" s="5">
        <v>11599252000000</v>
      </c>
      <c r="W131" s="5">
        <v>10945042000000</v>
      </c>
      <c r="X131" s="5">
        <v>8999345000000</v>
      </c>
      <c r="Y131" s="5">
        <v>7411848000000</v>
      </c>
      <c r="Z131" s="5">
        <v>8155293000000</v>
      </c>
    </row>
    <row r="132" spans="2:26" ht="15.5" x14ac:dyDescent="0.35">
      <c r="C132" t="s">
        <v>339</v>
      </c>
      <c r="D132" s="5">
        <v>34885000000</v>
      </c>
      <c r="E132" s="5">
        <v>46236000000</v>
      </c>
      <c r="F132" s="5">
        <v>95507000000</v>
      </c>
      <c r="G132" s="5">
        <v>75985000000</v>
      </c>
      <c r="I132" s="5">
        <v>279792000000</v>
      </c>
      <c r="J132" s="5">
        <v>211496000000</v>
      </c>
      <c r="K132" s="5">
        <v>99465000000</v>
      </c>
      <c r="L132" s="5">
        <v>76242000000</v>
      </c>
      <c r="M132" s="5">
        <v>65134000000</v>
      </c>
      <c r="N132" s="5">
        <v>55609000000</v>
      </c>
      <c r="O132" s="5">
        <v>31106000000</v>
      </c>
      <c r="P132" s="5">
        <v>23773000000</v>
      </c>
      <c r="Q132" s="5">
        <v>24442000000</v>
      </c>
      <c r="R132" s="5">
        <v>22740000000</v>
      </c>
      <c r="S132" s="5">
        <v>23983000000</v>
      </c>
      <c r="T132" s="5">
        <v>18649000000</v>
      </c>
      <c r="U132" s="5">
        <v>10388000000</v>
      </c>
      <c r="V132" s="5">
        <v>16315000000</v>
      </c>
      <c r="W132" s="5">
        <v>68965000000</v>
      </c>
      <c r="X132" s="5">
        <v>29284000000</v>
      </c>
      <c r="Y132" s="5">
        <v>47827000000</v>
      </c>
      <c r="Z132" s="5">
        <v>101398000000</v>
      </c>
    </row>
    <row r="133" spans="2:26" ht="15.5" x14ac:dyDescent="0.35">
      <c r="C133" t="s">
        <v>340</v>
      </c>
      <c r="D133" s="5">
        <v>-5410290000000</v>
      </c>
      <c r="E133" s="5">
        <v>-7042262000000</v>
      </c>
      <c r="F133" s="5">
        <v>-5700962000000</v>
      </c>
      <c r="G133" s="5">
        <v>-5165344000000</v>
      </c>
      <c r="I133" s="5">
        <v>-22638534000000</v>
      </c>
      <c r="J133" s="5">
        <v>-18071373000000</v>
      </c>
      <c r="K133" s="5">
        <v>-17623354000000</v>
      </c>
      <c r="L133" s="5">
        <v>-17032385000000</v>
      </c>
      <c r="M133" s="5">
        <v>-19891592000000</v>
      </c>
      <c r="N133" s="5">
        <v>-15656118000000</v>
      </c>
      <c r="O133" s="5">
        <v>-15014707000000</v>
      </c>
      <c r="P133" s="5">
        <v>-15591781000000</v>
      </c>
      <c r="Q133" s="5">
        <v>-12744315000000</v>
      </c>
      <c r="R133" s="5">
        <v>-10021060000000</v>
      </c>
      <c r="S133" s="5">
        <v>-10177262000000</v>
      </c>
      <c r="T133" s="5">
        <v>-11460160000000</v>
      </c>
      <c r="U133" s="5">
        <v>-7776496000000</v>
      </c>
      <c r="V133" s="5">
        <v>-7343681000000</v>
      </c>
      <c r="W133" s="5">
        <v>-6680451000000</v>
      </c>
      <c r="X133" s="5">
        <v>-4911353000000</v>
      </c>
      <c r="Y133" s="5">
        <v>-4052588000000</v>
      </c>
      <c r="Z133" s="5">
        <v>-4658440000000</v>
      </c>
    </row>
    <row r="134" spans="2:26" ht="15.5" x14ac:dyDescent="0.35">
      <c r="C134" t="s">
        <v>341</v>
      </c>
      <c r="D134" s="5">
        <v>-375933000000</v>
      </c>
      <c r="E134" s="5">
        <v>-1219777000000</v>
      </c>
      <c r="F134" s="5">
        <v>-198047000000</v>
      </c>
      <c r="G134" s="5">
        <v>614734000000</v>
      </c>
      <c r="I134" s="5">
        <v>-1041125000000</v>
      </c>
      <c r="J134" s="5">
        <v>-1269131000000</v>
      </c>
      <c r="K134" s="5">
        <v>119350000000</v>
      </c>
      <c r="L134" s="5">
        <v>-1699607000000</v>
      </c>
      <c r="M134" s="5">
        <v>39286000000</v>
      </c>
      <c r="N134" s="5">
        <v>560293000000</v>
      </c>
      <c r="O134" s="5">
        <v>-233349000000</v>
      </c>
      <c r="P134" s="5">
        <v>-1090792000000</v>
      </c>
      <c r="Q134" s="5">
        <v>-933423000000</v>
      </c>
      <c r="R134" s="5">
        <v>-797543000000</v>
      </c>
      <c r="S134" s="5">
        <v>-1153162000000</v>
      </c>
      <c r="T134" s="5">
        <v>-985348000000</v>
      </c>
      <c r="U134" s="5">
        <v>-1070115000000</v>
      </c>
      <c r="V134" s="5">
        <v>-1166646000000</v>
      </c>
      <c r="W134" s="5">
        <v>-810114000000</v>
      </c>
      <c r="X134" s="5">
        <v>-782951000000</v>
      </c>
      <c r="Y134" s="5">
        <v>-1034898000000</v>
      </c>
      <c r="Z134" s="5">
        <v>-1285307000000</v>
      </c>
    </row>
    <row r="135" spans="2:26" ht="15.5" x14ac:dyDescent="0.35">
      <c r="C135" t="s">
        <v>342</v>
      </c>
      <c r="D135" s="5">
        <v>308533000000</v>
      </c>
      <c r="E135" s="5">
        <v>1287154000000</v>
      </c>
      <c r="G135" s="5">
        <v>-532517000000</v>
      </c>
      <c r="I135" s="5">
        <v>1287154000000</v>
      </c>
      <c r="J135" s="5">
        <v>1163346000000</v>
      </c>
    </row>
    <row r="136" spans="2:26" ht="15.5" x14ac:dyDescent="0.35">
      <c r="C136" t="s">
        <v>343</v>
      </c>
      <c r="D136" s="5">
        <v>-330864000000</v>
      </c>
      <c r="E136" s="5">
        <v>-447003000000</v>
      </c>
      <c r="F136" s="5">
        <v>-327895000000</v>
      </c>
      <c r="G136" s="5">
        <v>-495953000000</v>
      </c>
      <c r="I136" s="5">
        <v>-1620260000000</v>
      </c>
      <c r="J136" s="5">
        <v>-781429000000</v>
      </c>
      <c r="K136" s="5">
        <v>-944334000000</v>
      </c>
      <c r="L136" s="5">
        <v>-776078000000</v>
      </c>
      <c r="M136" s="5">
        <v>-227443000000</v>
      </c>
      <c r="N136" s="5">
        <v>-1014544000000</v>
      </c>
      <c r="O136" s="5">
        <v>-905067000000</v>
      </c>
      <c r="P136" s="5">
        <v>-414138000000</v>
      </c>
      <c r="Q136" s="5">
        <v>-523231000000</v>
      </c>
      <c r="R136" s="5">
        <v>-448600000000</v>
      </c>
      <c r="S136" s="5">
        <v>-843219000000</v>
      </c>
      <c r="T136" s="5">
        <v>-635375000000</v>
      </c>
      <c r="U136" s="5">
        <v>-655192000000</v>
      </c>
      <c r="V136" s="5">
        <v>-495729000000</v>
      </c>
      <c r="W136" s="5">
        <v>-360967000000</v>
      </c>
      <c r="X136" s="5">
        <v>-387668000000</v>
      </c>
      <c r="Y136" s="5">
        <v>-387295000000</v>
      </c>
      <c r="Z136" s="5">
        <v>-225515000000</v>
      </c>
    </row>
    <row r="137" spans="2:26" ht="15.5" x14ac:dyDescent="0.35">
      <c r="C137" t="s">
        <v>152</v>
      </c>
      <c r="D137" s="5">
        <v>-402000000</v>
      </c>
      <c r="E137" s="5">
        <v>-327816000000</v>
      </c>
      <c r="F137" s="5">
        <v>-3157554000000</v>
      </c>
      <c r="G137" s="5">
        <v>-428345000000</v>
      </c>
      <c r="I137" s="5">
        <v>-3963156000000</v>
      </c>
      <c r="J137" s="5">
        <v>-1325763000000</v>
      </c>
      <c r="K137" s="5">
        <v>-1043718000000</v>
      </c>
      <c r="L137" s="5">
        <v>-3006151000000</v>
      </c>
      <c r="M137" s="5">
        <v>-891402000000</v>
      </c>
      <c r="N137" s="5">
        <v>-767945000000</v>
      </c>
      <c r="O137" s="5">
        <v>334094000000</v>
      </c>
      <c r="P137" s="5">
        <v>-609332000000</v>
      </c>
      <c r="Q137" s="5">
        <v>-1361618000000</v>
      </c>
      <c r="R137" s="5">
        <v>116463000000</v>
      </c>
      <c r="S137" s="5">
        <v>1771196000000</v>
      </c>
      <c r="T137" s="5">
        <v>448912000000</v>
      </c>
      <c r="U137" s="5">
        <v>178607000000</v>
      </c>
      <c r="V137" s="5">
        <v>-593915000000</v>
      </c>
      <c r="W137" s="5">
        <v>-1537968000000</v>
      </c>
      <c r="X137" s="5">
        <v>-1083520000000</v>
      </c>
      <c r="Y137" s="5">
        <v>-666117000000</v>
      </c>
      <c r="Z137" s="5">
        <v>-1576961000000</v>
      </c>
    </row>
    <row r="138" spans="2:26" ht="15.5" x14ac:dyDescent="0.35">
      <c r="C138" t="s">
        <v>153</v>
      </c>
      <c r="D138" s="5">
        <v>-137958000000</v>
      </c>
      <c r="E138" s="5">
        <v>-350655000000</v>
      </c>
      <c r="F138" s="5">
        <v>-181497000000</v>
      </c>
      <c r="G138" s="5">
        <v>-140722000000</v>
      </c>
      <c r="I138" s="5">
        <v>-781980000000</v>
      </c>
      <c r="J138" s="5">
        <v>-940603000000</v>
      </c>
      <c r="K138" s="5">
        <v>-1020975000000</v>
      </c>
      <c r="L138" s="5">
        <v>-1142218000000</v>
      </c>
      <c r="M138" s="5">
        <v>-1186688000000</v>
      </c>
      <c r="N138" s="5">
        <v>-999198000000</v>
      </c>
      <c r="O138" s="5">
        <v>-1307383000000</v>
      </c>
      <c r="P138" s="5">
        <v>-1678767000000</v>
      </c>
      <c r="Q138" s="5">
        <v>-1753504000000</v>
      </c>
      <c r="R138" s="5">
        <v>-2395413000000</v>
      </c>
      <c r="S138" s="5">
        <v>-3119463000000</v>
      </c>
      <c r="T138" s="5">
        <v>-3586952000000</v>
      </c>
      <c r="U138" s="5">
        <v>-2869835000000</v>
      </c>
      <c r="V138" s="5">
        <v>-2630545000000</v>
      </c>
      <c r="W138" s="5">
        <v>-2026977000000</v>
      </c>
      <c r="X138" s="5">
        <v>-1390878000000</v>
      </c>
      <c r="Y138" s="5">
        <v>-1293490000000</v>
      </c>
      <c r="Z138" s="5">
        <v>-741123000000</v>
      </c>
    </row>
    <row r="139" spans="2:26" ht="15.5" x14ac:dyDescent="0.35">
      <c r="C139" t="s">
        <v>160</v>
      </c>
      <c r="D139" s="5">
        <v>-35967000000</v>
      </c>
      <c r="E139" s="5">
        <v>-175395000000</v>
      </c>
      <c r="F139" s="5">
        <v>-47361000000</v>
      </c>
      <c r="G139" s="5">
        <v>-46851000000</v>
      </c>
      <c r="I139" s="5">
        <v>-299057000000</v>
      </c>
      <c r="J139" s="5">
        <v>-411661000000</v>
      </c>
      <c r="K139" s="5">
        <v>-715685000000</v>
      </c>
      <c r="L139" s="5">
        <v>-791413000000</v>
      </c>
      <c r="M139" s="5">
        <v>-763501000000</v>
      </c>
      <c r="N139" s="5">
        <v>-461413000000</v>
      </c>
      <c r="O139" s="5">
        <v>-653547000000</v>
      </c>
      <c r="P139" s="5">
        <v>-939268000000</v>
      </c>
      <c r="Q139" s="5">
        <v>-1038890000000</v>
      </c>
      <c r="R139" s="5">
        <v>-1533609000000</v>
      </c>
      <c r="S139" s="5">
        <v>-1612088000000</v>
      </c>
      <c r="T139" s="5">
        <v>-2306915000000</v>
      </c>
      <c r="U139" s="5">
        <v>-2171006000000</v>
      </c>
      <c r="V139" s="5">
        <v>-1775489000000</v>
      </c>
      <c r="W139" s="5">
        <v>-1086293000000</v>
      </c>
      <c r="X139" s="5">
        <v>-685609000000</v>
      </c>
      <c r="Y139" s="5">
        <v>-520988000000</v>
      </c>
      <c r="Z139" s="5">
        <v>-547675000000</v>
      </c>
    </row>
    <row r="140" spans="2:26" ht="15.5" x14ac:dyDescent="0.35">
      <c r="C140" t="s">
        <v>344</v>
      </c>
      <c r="X140" s="5">
        <v>-791507000000</v>
      </c>
      <c r="Y140" s="5">
        <v>-756526000000</v>
      </c>
      <c r="Z140" s="5">
        <v>-661912000000</v>
      </c>
    </row>
    <row r="141" spans="2:26" ht="15.5" x14ac:dyDescent="0.35">
      <c r="C141" t="s">
        <v>345</v>
      </c>
      <c r="W141" s="5">
        <v>5613000000</v>
      </c>
      <c r="X141" s="5">
        <v>145229000000</v>
      </c>
    </row>
    <row r="142" spans="2:26" ht="15.5" x14ac:dyDescent="0.35">
      <c r="C142" t="s">
        <v>346</v>
      </c>
      <c r="P142" s="5">
        <v>-69999000000</v>
      </c>
    </row>
    <row r="143" spans="2:26" ht="15.5" x14ac:dyDescent="0.35">
      <c r="C143" t="s">
        <v>347</v>
      </c>
      <c r="K143" s="5">
        <v>215362000000</v>
      </c>
      <c r="L143" s="5">
        <v>237226000000</v>
      </c>
      <c r="M143" s="5">
        <v>42794000000</v>
      </c>
    </row>
    <row r="144" spans="2:26" ht="15.5" x14ac:dyDescent="0.35">
      <c r="C144" t="s">
        <v>348</v>
      </c>
      <c r="N144" s="5">
        <v>-28687000000</v>
      </c>
      <c r="O144" s="5">
        <v>-35511000000</v>
      </c>
    </row>
    <row r="145" spans="3:26" ht="15.5" x14ac:dyDescent="0.35">
      <c r="C145" t="s">
        <v>349</v>
      </c>
      <c r="P145" s="5">
        <v>-31891000000</v>
      </c>
      <c r="Q145" s="5">
        <v>-90819000000</v>
      </c>
      <c r="R145" s="5">
        <v>-45497000000</v>
      </c>
    </row>
    <row r="146" spans="3:26" ht="15.5" x14ac:dyDescent="0.35">
      <c r="C146" t="s">
        <v>350</v>
      </c>
      <c r="D146" s="5">
        <v>-101991000000</v>
      </c>
      <c r="E146" s="5">
        <v>-175260000000</v>
      </c>
      <c r="F146" s="5">
        <v>-134136000000</v>
      </c>
      <c r="G146" s="5">
        <v>-93871000000</v>
      </c>
      <c r="I146" s="5">
        <v>-482923000000</v>
      </c>
      <c r="J146" s="5">
        <v>-528942000000</v>
      </c>
      <c r="K146" s="5">
        <v>-520652000000</v>
      </c>
      <c r="L146" s="5">
        <v>-588031000000</v>
      </c>
      <c r="M146" s="5">
        <v>-465981000000</v>
      </c>
      <c r="N146" s="5">
        <v>-509098000000</v>
      </c>
      <c r="O146" s="5">
        <v>-618325000000</v>
      </c>
      <c r="P146" s="5">
        <v>-637609000000</v>
      </c>
      <c r="Q146" s="5">
        <v>-623795000000</v>
      </c>
      <c r="R146" s="5">
        <v>-751206000000</v>
      </c>
      <c r="S146" s="5">
        <v>-974246000000</v>
      </c>
      <c r="T146" s="5">
        <v>-971311000000</v>
      </c>
      <c r="U146" s="5">
        <v>-685019000000</v>
      </c>
      <c r="V146" s="5">
        <v>-824417000000</v>
      </c>
      <c r="W146" s="5">
        <v>-800771000000</v>
      </c>
      <c r="X146" s="5">
        <v>-58991000000</v>
      </c>
    </row>
    <row r="147" spans="3:26" ht="15.5" x14ac:dyDescent="0.35">
      <c r="C147" t="s">
        <v>351</v>
      </c>
      <c r="U147" s="5">
        <v>-5428000000</v>
      </c>
      <c r="V147" s="5">
        <v>-30639000000</v>
      </c>
      <c r="W147" s="5">
        <v>-81385000000</v>
      </c>
      <c r="Y147" s="5">
        <v>-6476000000</v>
      </c>
      <c r="Z147" s="5">
        <v>-69821000000</v>
      </c>
    </row>
    <row r="148" spans="3:26" ht="15.5" x14ac:dyDescent="0.35">
      <c r="C148" t="s">
        <v>352</v>
      </c>
      <c r="R148" s="5">
        <v>-65101000000</v>
      </c>
      <c r="S148" s="5">
        <v>-458129000000</v>
      </c>
      <c r="W148" s="5">
        <v>-64141000000</v>
      </c>
    </row>
    <row r="149" spans="3:26" ht="15.5" x14ac:dyDescent="0.35">
      <c r="C149" t="s">
        <v>353</v>
      </c>
      <c r="T149" s="5">
        <v>-308726000000</v>
      </c>
      <c r="Y149" s="5">
        <v>-9500000000</v>
      </c>
      <c r="Z149" s="5">
        <v>-12685000000</v>
      </c>
    </row>
    <row r="150" spans="3:26" ht="15.5" x14ac:dyDescent="0.35">
      <c r="C150" t="s">
        <v>354</v>
      </c>
      <c r="S150" s="5">
        <v>-75000000000</v>
      </c>
      <c r="U150" s="5">
        <v>-8382000000</v>
      </c>
    </row>
    <row r="151" spans="3:26" ht="15.5" x14ac:dyDescent="0.35">
      <c r="C151" t="s">
        <v>171</v>
      </c>
      <c r="D151" s="5">
        <v>-402000000</v>
      </c>
      <c r="E151" s="5">
        <v>-327816000000</v>
      </c>
      <c r="F151" s="5">
        <v>-3157554000000</v>
      </c>
      <c r="G151" s="5">
        <v>-428345000000</v>
      </c>
      <c r="I151" s="5">
        <v>-3963156000000</v>
      </c>
      <c r="J151" s="5">
        <v>-1325763000000</v>
      </c>
      <c r="K151" s="5">
        <v>-1043718000000</v>
      </c>
      <c r="L151" s="5">
        <v>-3006151000000</v>
      </c>
      <c r="M151" s="5">
        <v>-891402000000</v>
      </c>
      <c r="N151" s="5">
        <v>-767945000000</v>
      </c>
      <c r="O151" s="5">
        <v>334094000000</v>
      </c>
      <c r="P151" s="5">
        <v>-609332000000</v>
      </c>
      <c r="Q151" s="5">
        <v>-1361618000000</v>
      </c>
      <c r="R151" s="5">
        <v>116463000000</v>
      </c>
      <c r="S151" s="5">
        <v>1771196000000</v>
      </c>
      <c r="T151" s="5">
        <v>448912000000</v>
      </c>
      <c r="U151" s="5">
        <v>178607000000</v>
      </c>
      <c r="V151" s="5">
        <v>-593915000000</v>
      </c>
      <c r="W151" s="5">
        <v>-1537968000000</v>
      </c>
      <c r="X151" s="5">
        <v>-1083520000000</v>
      </c>
      <c r="Y151" s="5">
        <v>-666117000000</v>
      </c>
      <c r="Z151" s="5">
        <v>-1576961000000</v>
      </c>
    </row>
    <row r="152" spans="3:26" ht="15.5" x14ac:dyDescent="0.35">
      <c r="C152" t="s">
        <v>355</v>
      </c>
      <c r="J152" s="5">
        <v>1500000000000</v>
      </c>
      <c r="L152" s="5">
        <v>1700000000000</v>
      </c>
      <c r="N152" s="5">
        <v>550000000000</v>
      </c>
      <c r="O152" s="5">
        <v>3135550000000</v>
      </c>
      <c r="P152" s="5">
        <v>1225000000000</v>
      </c>
      <c r="Q152" s="5">
        <v>5020750000000</v>
      </c>
      <c r="R152" s="5">
        <v>1285340000000</v>
      </c>
      <c r="S152" s="5">
        <v>4723275000000</v>
      </c>
      <c r="T152" s="5">
        <v>2126881000000</v>
      </c>
      <c r="U152" s="5">
        <v>1551655000000</v>
      </c>
      <c r="V152" s="5">
        <v>960640000000</v>
      </c>
      <c r="Y152" s="5">
        <v>132375000000</v>
      </c>
    </row>
    <row r="153" spans="3:26" ht="15.5" x14ac:dyDescent="0.35">
      <c r="C153" t="s">
        <v>356</v>
      </c>
      <c r="R153" s="5">
        <v>3970363000000</v>
      </c>
    </row>
    <row r="154" spans="3:26" ht="15.5" x14ac:dyDescent="0.35">
      <c r="C154" t="s">
        <v>357</v>
      </c>
      <c r="E154" s="5">
        <v>-236773000000</v>
      </c>
      <c r="G154" s="5">
        <v>-354106000000</v>
      </c>
      <c r="I154" s="5">
        <v>-590879000000</v>
      </c>
      <c r="J154" s="5">
        <v>-479199000000</v>
      </c>
      <c r="K154" s="5">
        <v>-771721000000</v>
      </c>
      <c r="L154" s="5">
        <v>-854474000000</v>
      </c>
      <c r="M154" s="5">
        <v>-490745000000</v>
      </c>
      <c r="N154" s="5">
        <v>-175130000000</v>
      </c>
      <c r="O154" s="5">
        <v>-431091000000</v>
      </c>
      <c r="P154" s="5">
        <v>-835247000000</v>
      </c>
      <c r="Q154" s="5">
        <v>-996896000000</v>
      </c>
      <c r="R154" s="5">
        <v>-190527000000</v>
      </c>
      <c r="S154" s="5">
        <v>-743196000000</v>
      </c>
      <c r="T154" s="5">
        <v>-943165000000</v>
      </c>
      <c r="U154" s="5">
        <v>-968359000000</v>
      </c>
      <c r="V154" s="5">
        <v>-1456422000000</v>
      </c>
      <c r="W154" s="5">
        <v>-1480146000000</v>
      </c>
      <c r="X154" s="5">
        <v>-1031290000000</v>
      </c>
      <c r="Y154" s="5">
        <v>-590452000000</v>
      </c>
      <c r="Z154" s="5">
        <v>-1535297000000</v>
      </c>
    </row>
    <row r="155" spans="3:26" ht="15.5" x14ac:dyDescent="0.35">
      <c r="C155" t="s">
        <v>358</v>
      </c>
      <c r="E155" s="5">
        <v>-90000000000</v>
      </c>
      <c r="F155" s="5">
        <v>-3100000000000</v>
      </c>
      <c r="I155" s="5">
        <v>-3190000000000</v>
      </c>
      <c r="J155" s="5">
        <v>-2139710000000</v>
      </c>
      <c r="K155" s="5">
        <v>-5000000000</v>
      </c>
      <c r="L155" s="5">
        <v>-3374786000000</v>
      </c>
      <c r="N155" s="5">
        <v>-700000000000</v>
      </c>
      <c r="O155" s="5">
        <v>-1975000000000</v>
      </c>
      <c r="P155" s="5">
        <v>-700000000000</v>
      </c>
      <c r="Q155" s="5">
        <v>-5176759000000</v>
      </c>
      <c r="R155" s="5">
        <v>-4735648000000</v>
      </c>
      <c r="S155" s="5">
        <v>-2013341000000</v>
      </c>
      <c r="T155" s="5">
        <v>-570618000000</v>
      </c>
      <c r="U155" s="5">
        <v>-264860000000</v>
      </c>
      <c r="Y155" s="5">
        <v>-132198000000</v>
      </c>
      <c r="Z155" s="5">
        <v>-5000000000</v>
      </c>
    </row>
    <row r="156" spans="3:26" ht="15.5" x14ac:dyDescent="0.35">
      <c r="C156" t="s">
        <v>359</v>
      </c>
      <c r="X156" s="5">
        <v>-41553000000</v>
      </c>
      <c r="Y156" s="5">
        <v>-49079000000</v>
      </c>
      <c r="Z156" s="5">
        <v>-45977000000</v>
      </c>
    </row>
    <row r="157" spans="3:26" ht="15.5" x14ac:dyDescent="0.35">
      <c r="C157" t="s">
        <v>360</v>
      </c>
      <c r="Z157" s="5">
        <v>9513000000</v>
      </c>
    </row>
    <row r="158" spans="3:26" ht="15.5" x14ac:dyDescent="0.35">
      <c r="C158" t="s">
        <v>159</v>
      </c>
      <c r="Q158" s="5">
        <v>-48000000000</v>
      </c>
    </row>
    <row r="159" spans="3:26" ht="15.5" x14ac:dyDescent="0.35">
      <c r="C159" t="s">
        <v>361</v>
      </c>
      <c r="J159" s="5">
        <v>91916000000</v>
      </c>
      <c r="K159" s="5">
        <v>44612000000</v>
      </c>
      <c r="M159" s="5">
        <v>37785000000</v>
      </c>
    </row>
    <row r="160" spans="3:26" ht="15.5" x14ac:dyDescent="0.35">
      <c r="C160" t="s">
        <v>362</v>
      </c>
      <c r="X160" s="5">
        <v>-10677000000</v>
      </c>
      <c r="Y160" s="5">
        <v>-26763000000</v>
      </c>
      <c r="Z160" s="5">
        <v>-200000000</v>
      </c>
    </row>
    <row r="161" spans="2:26" ht="15.5" x14ac:dyDescent="0.35">
      <c r="C161" t="s">
        <v>363</v>
      </c>
      <c r="D161" s="5">
        <v>-402000000</v>
      </c>
      <c r="E161" s="5">
        <v>-1043000000</v>
      </c>
      <c r="F161" s="5">
        <v>-57554000000</v>
      </c>
      <c r="G161" s="5">
        <v>-48822000000</v>
      </c>
      <c r="I161" s="5">
        <v>-156860000000</v>
      </c>
      <c r="J161" s="5">
        <v>-270932000000</v>
      </c>
      <c r="K161" s="5">
        <v>-269819000000</v>
      </c>
      <c r="L161" s="5">
        <v>-417581000000</v>
      </c>
      <c r="M161" s="5">
        <v>-398542000000</v>
      </c>
      <c r="N161" s="5">
        <v>-419975000000</v>
      </c>
      <c r="O161" s="5">
        <v>-335723000000</v>
      </c>
      <c r="P161" s="5">
        <v>-224429000000</v>
      </c>
      <c r="Q161" s="5">
        <v>-84643000000</v>
      </c>
      <c r="R161" s="5">
        <v>-148154000000</v>
      </c>
      <c r="S161" s="5">
        <v>-114428000000</v>
      </c>
      <c r="T161" s="5">
        <v>-92440000000</v>
      </c>
      <c r="U161" s="5">
        <v>-74495000000</v>
      </c>
      <c r="V161" s="5">
        <v>-40371000000</v>
      </c>
      <c r="W161" s="5">
        <v>-5794000000</v>
      </c>
    </row>
    <row r="162" spans="2:26" ht="15.5" x14ac:dyDescent="0.35">
      <c r="C162" t="s">
        <v>188</v>
      </c>
      <c r="D162" s="5">
        <v>1945706000000</v>
      </c>
      <c r="E162" s="5">
        <v>-2224245000000</v>
      </c>
      <c r="F162" s="5">
        <v>-1430396000000</v>
      </c>
      <c r="G162" s="5">
        <v>962831000000</v>
      </c>
      <c r="I162" s="5">
        <v>-534546000000</v>
      </c>
      <c r="J162" s="5">
        <v>1112829000000</v>
      </c>
      <c r="K162" s="5">
        <v>474045000000</v>
      </c>
      <c r="L162" s="5">
        <v>-2312972000000</v>
      </c>
      <c r="M162" s="5">
        <v>2817029000000</v>
      </c>
      <c r="N162" s="5">
        <v>555021000000</v>
      </c>
      <c r="O162" s="5">
        <v>319064000000</v>
      </c>
      <c r="P162" s="5">
        <v>-242864000000</v>
      </c>
      <c r="Q162" s="5">
        <v>-273300000000</v>
      </c>
      <c r="R162" s="5">
        <v>232873000000</v>
      </c>
      <c r="S162" s="5">
        <v>-320494000000</v>
      </c>
      <c r="T162" s="5">
        <v>-116020000000</v>
      </c>
      <c r="U162" s="5">
        <v>465303000000</v>
      </c>
      <c r="V162" s="5">
        <v>-614949000000</v>
      </c>
      <c r="W162" s="5">
        <v>-402470000000</v>
      </c>
      <c r="X162" s="5">
        <v>472259000000</v>
      </c>
      <c r="Y162" s="5">
        <v>25287000000</v>
      </c>
      <c r="Z162" s="5">
        <v>-230655000000</v>
      </c>
    </row>
    <row r="163" spans="2:26" ht="15.5" x14ac:dyDescent="0.35">
      <c r="C163" t="s">
        <v>190</v>
      </c>
      <c r="D163" s="5">
        <v>2433000000</v>
      </c>
      <c r="E163" s="5">
        <v>51018000000</v>
      </c>
      <c r="F163" s="5">
        <v>34654000000</v>
      </c>
      <c r="G163" s="5">
        <v>23554000000</v>
      </c>
      <c r="I163" s="5">
        <v>54249000000</v>
      </c>
      <c r="J163" s="5">
        <v>33675000000</v>
      </c>
      <c r="K163" s="5">
        <v>-4153000000</v>
      </c>
      <c r="L163" s="5">
        <v>36566000000</v>
      </c>
      <c r="M163" s="5">
        <v>100101000000</v>
      </c>
      <c r="N163" s="5">
        <v>40505000000</v>
      </c>
      <c r="O163" s="5">
        <v>15220000000</v>
      </c>
      <c r="P163" s="5">
        <v>29654000000</v>
      </c>
      <c r="Q163" s="5">
        <v>4009000000</v>
      </c>
      <c r="R163" s="5">
        <v>4269000000</v>
      </c>
      <c r="S163" s="5">
        <v>3754000000</v>
      </c>
      <c r="T163" s="5">
        <v>18111000000</v>
      </c>
      <c r="U163" s="5">
        <v>16018000000</v>
      </c>
      <c r="V163" s="5">
        <v>4528000000</v>
      </c>
      <c r="W163" s="5">
        <v>-121000000</v>
      </c>
      <c r="X163" s="5">
        <v>-20027000000</v>
      </c>
      <c r="Y163" s="5">
        <v>-104414000000</v>
      </c>
      <c r="Z163" s="5">
        <v>85559000000</v>
      </c>
    </row>
    <row r="164" spans="2:26" ht="15.5" x14ac:dyDescent="0.35">
      <c r="C164" t="s">
        <v>189</v>
      </c>
      <c r="D164" s="5">
        <v>2755715000000</v>
      </c>
      <c r="I164" s="5">
        <v>3236012000000</v>
      </c>
      <c r="J164" s="5">
        <v>2089508000000</v>
      </c>
      <c r="K164" s="5">
        <v>1619616000000</v>
      </c>
      <c r="L164" s="5">
        <v>3896022000000</v>
      </c>
      <c r="M164" s="5">
        <v>978892000000</v>
      </c>
      <c r="N164" s="5">
        <v>383366000000</v>
      </c>
      <c r="O164" s="5">
        <v>49082000000</v>
      </c>
      <c r="P164" s="5">
        <v>262292000000</v>
      </c>
      <c r="Q164" s="5">
        <v>531583000000</v>
      </c>
      <c r="R164" s="5">
        <v>294441000000</v>
      </c>
      <c r="S164" s="5">
        <v>611181000000</v>
      </c>
      <c r="T164" s="5">
        <v>709090000000</v>
      </c>
      <c r="U164" s="5">
        <v>227769000000</v>
      </c>
      <c r="V164" s="5">
        <v>838190000000</v>
      </c>
      <c r="W164" s="5">
        <v>1240781000000</v>
      </c>
      <c r="X164" s="5">
        <v>788549000000</v>
      </c>
      <c r="Y164" s="5">
        <v>867676000000</v>
      </c>
      <c r="Z164" s="5">
        <v>1012772000000</v>
      </c>
    </row>
    <row r="165" spans="2:26" ht="15.5" x14ac:dyDescent="0.35">
      <c r="C165" t="s">
        <v>191</v>
      </c>
      <c r="D165" s="5">
        <v>4703854000000</v>
      </c>
      <c r="E165" s="5">
        <v>-2173227000000</v>
      </c>
      <c r="F165" s="5">
        <v>-1395742000000</v>
      </c>
      <c r="G165" s="5">
        <v>986385000000</v>
      </c>
      <c r="I165" s="5">
        <v>2755715000000</v>
      </c>
      <c r="J165" s="5">
        <v>3236012000000</v>
      </c>
      <c r="K165" s="5">
        <v>2089508000000</v>
      </c>
      <c r="L165" s="5">
        <v>1619616000000</v>
      </c>
      <c r="M165" s="5">
        <v>3896022000000</v>
      </c>
      <c r="N165" s="5">
        <v>978892000000</v>
      </c>
      <c r="O165" s="5">
        <v>383366000000</v>
      </c>
      <c r="P165" s="5">
        <v>49082000000</v>
      </c>
      <c r="Q165" s="5">
        <v>262292000000</v>
      </c>
      <c r="R165" s="5">
        <v>531583000000</v>
      </c>
      <c r="S165" s="5">
        <v>294441000000</v>
      </c>
      <c r="T165" s="5">
        <v>611181000000</v>
      </c>
      <c r="U165" s="5">
        <v>709090000000</v>
      </c>
      <c r="V165" s="5">
        <v>227769000000</v>
      </c>
      <c r="W165" s="5">
        <v>838190000000</v>
      </c>
      <c r="X165" s="5">
        <v>1240781000000</v>
      </c>
      <c r="Y165" s="5">
        <v>788549000000</v>
      </c>
      <c r="Z165" s="5">
        <v>867676000000</v>
      </c>
    </row>
    <row r="167" spans="2:26" ht="15.5" x14ac:dyDescent="0.35">
      <c r="B167" t="s">
        <v>192</v>
      </c>
      <c r="C167" t="s">
        <v>10</v>
      </c>
      <c r="D167" s="5">
        <v>1920000000</v>
      </c>
      <c r="E167" s="5">
        <v>1920000000</v>
      </c>
      <c r="F167" s="5">
        <v>1920000000</v>
      </c>
      <c r="G167" s="5">
        <v>1920000000</v>
      </c>
      <c r="I167" s="5">
        <v>1920000000</v>
      </c>
      <c r="J167" s="5">
        <v>1920000000</v>
      </c>
      <c r="K167" s="5">
        <v>1920000000</v>
      </c>
      <c r="L167" s="5">
        <v>1920000000</v>
      </c>
      <c r="M167" s="5">
        <v>1920000000</v>
      </c>
      <c r="N167" s="5">
        <v>1920000000</v>
      </c>
      <c r="O167" s="5">
        <v>1920000000</v>
      </c>
      <c r="P167" s="5">
        <v>1920000000</v>
      </c>
      <c r="Q167" s="5">
        <v>1920000000</v>
      </c>
      <c r="R167" s="5">
        <v>1920000000</v>
      </c>
      <c r="S167" s="5">
        <v>1570000000</v>
      </c>
      <c r="T167" s="5">
        <v>1570000000</v>
      </c>
      <c r="U167" s="5">
        <v>1570000000</v>
      </c>
      <c r="V167" s="5">
        <v>1570000000</v>
      </c>
      <c r="W167" s="5">
        <v>1570000000</v>
      </c>
      <c r="X167" s="5">
        <v>1570000000</v>
      </c>
      <c r="Y167" s="5">
        <v>1570000000</v>
      </c>
      <c r="Z167" s="5">
        <v>1570000000</v>
      </c>
    </row>
    <row r="168" spans="2:26" ht="15.5" x14ac:dyDescent="0.35">
      <c r="C168" t="s">
        <v>193</v>
      </c>
      <c r="D168" s="6">
        <v>194.01</v>
      </c>
      <c r="E168" s="6">
        <v>208.66</v>
      </c>
      <c r="F168" s="6">
        <v>191.2</v>
      </c>
      <c r="G168" s="6">
        <v>220.86</v>
      </c>
    </row>
    <row r="169" spans="2:26" ht="15.5" x14ac:dyDescent="0.35">
      <c r="C169" t="s">
        <v>194</v>
      </c>
      <c r="D169" s="6">
        <v>38.92</v>
      </c>
      <c r="E169" s="6">
        <v>35.340000000000003</v>
      </c>
      <c r="F169" s="6">
        <v>42.76</v>
      </c>
      <c r="G169" s="6">
        <v>26.26</v>
      </c>
    </row>
    <row r="170" spans="2:26" ht="15.5" x14ac:dyDescent="0.35">
      <c r="C170" t="s">
        <v>56</v>
      </c>
      <c r="D170" s="6">
        <v>1.94</v>
      </c>
      <c r="E170" s="6">
        <v>2.17</v>
      </c>
      <c r="F170" s="6">
        <v>2.0499999999999998</v>
      </c>
      <c r="G170" s="6">
        <v>1.5</v>
      </c>
    </row>
    <row r="171" spans="2:26" ht="15.5" x14ac:dyDescent="0.35">
      <c r="C171" t="s">
        <v>195</v>
      </c>
      <c r="D171" s="5">
        <v>1092290000000</v>
      </c>
      <c r="E171" s="5">
        <v>1180670000000</v>
      </c>
      <c r="F171" s="5">
        <v>948970000000</v>
      </c>
      <c r="G171" s="5">
        <v>923730000000</v>
      </c>
    </row>
    <row r="172" spans="2:26" ht="15.5" x14ac:dyDescent="0.35">
      <c r="C172" t="s">
        <v>196</v>
      </c>
      <c r="D172" s="6">
        <v>1.34E-2</v>
      </c>
      <c r="E172" s="6">
        <v>1.4800000000000001E-2</v>
      </c>
      <c r="F172" s="6">
        <v>1.32E-2</v>
      </c>
      <c r="G172" s="6">
        <v>1.3899999999999999E-2</v>
      </c>
    </row>
    <row r="173" spans="2:26" ht="15.5" x14ac:dyDescent="0.35">
      <c r="C173" t="s">
        <v>197</v>
      </c>
      <c r="D173" s="6">
        <v>1.5600000000000001E-2</v>
      </c>
      <c r="E173" s="6">
        <v>1.7000000000000001E-2</v>
      </c>
      <c r="F173" s="6">
        <v>1.5900000000000001E-2</v>
      </c>
      <c r="G173" s="6">
        <v>1.8500000000000003E-2</v>
      </c>
    </row>
    <row r="174" spans="2:26" ht="15.5" x14ac:dyDescent="0.35">
      <c r="C174" t="s">
        <v>198</v>
      </c>
      <c r="D174" s="6">
        <v>2.87E-2</v>
      </c>
      <c r="E174" s="6">
        <v>3.4500000000000003E-2</v>
      </c>
      <c r="F174" s="6">
        <v>2.07E-2</v>
      </c>
      <c r="G174" s="6">
        <v>2.1600000000000001E-2</v>
      </c>
    </row>
    <row r="175" spans="2:26" ht="15.5" x14ac:dyDescent="0.35">
      <c r="C175" t="s">
        <v>199</v>
      </c>
      <c r="D175" s="6">
        <v>825.28</v>
      </c>
      <c r="E175" s="6">
        <v>2697.08</v>
      </c>
      <c r="F175" s="6">
        <v>12.51</v>
      </c>
      <c r="G175" s="6">
        <v>11.41</v>
      </c>
    </row>
    <row r="176" spans="2:26" ht="15.5" x14ac:dyDescent="0.35">
      <c r="C176" t="s">
        <v>200</v>
      </c>
      <c r="D176" s="5">
        <v>24534000000000</v>
      </c>
      <c r="E176" s="5">
        <v>24158000000000</v>
      </c>
      <c r="F176" s="5">
        <v>23698000000000</v>
      </c>
      <c r="G176" s="5">
        <v>23550000000000</v>
      </c>
    </row>
    <row r="177" spans="3:26" ht="15.5" x14ac:dyDescent="0.35">
      <c r="C177" t="s">
        <v>201</v>
      </c>
      <c r="D177" s="6">
        <v>0.61</v>
      </c>
      <c r="E177" s="6">
        <v>0.6</v>
      </c>
      <c r="F177" s="6">
        <v>0.68</v>
      </c>
      <c r="G177" s="6">
        <v>0.49</v>
      </c>
    </row>
    <row r="178" spans="3:26" ht="15.5" x14ac:dyDescent="0.35">
      <c r="C178" t="s">
        <v>202</v>
      </c>
      <c r="D178" s="6">
        <v>12426.62</v>
      </c>
      <c r="E178" s="6">
        <v>12238.94</v>
      </c>
      <c r="F178" s="6">
        <v>12012.93</v>
      </c>
      <c r="G178" s="6">
        <v>11944.74</v>
      </c>
    </row>
    <row r="179" spans="3:26" ht="15.5" x14ac:dyDescent="0.35">
      <c r="C179" t="s">
        <v>203</v>
      </c>
      <c r="D179" s="6">
        <v>0.61</v>
      </c>
      <c r="E179" s="6">
        <v>0.6</v>
      </c>
      <c r="F179" s="6">
        <v>0.68</v>
      </c>
      <c r="G179" s="6">
        <v>0.49</v>
      </c>
    </row>
    <row r="180" spans="3:26" ht="15.5" x14ac:dyDescent="0.35">
      <c r="C180" t="s">
        <v>204</v>
      </c>
      <c r="D180" s="6">
        <v>12397.55</v>
      </c>
      <c r="E180" s="6">
        <v>12209.87</v>
      </c>
      <c r="F180" s="6">
        <v>11983.86</v>
      </c>
      <c r="G180" s="6">
        <v>11915.67</v>
      </c>
    </row>
    <row r="181" spans="3:26" ht="15.5" x14ac:dyDescent="0.35">
      <c r="C181" t="s">
        <v>205</v>
      </c>
      <c r="F181" s="5">
        <v>90000000000</v>
      </c>
      <c r="G181" s="5">
        <v>1690000000000</v>
      </c>
    </row>
    <row r="182" spans="3:26" ht="15.5" x14ac:dyDescent="0.35">
      <c r="C182" t="s">
        <v>206</v>
      </c>
      <c r="G182" s="5">
        <v>1500000000000</v>
      </c>
    </row>
    <row r="183" spans="3:26" ht="15.5" x14ac:dyDescent="0.35">
      <c r="C183" t="s">
        <v>207</v>
      </c>
      <c r="D183" s="5">
        <v>23917000000000</v>
      </c>
      <c r="E183" s="5">
        <v>23556000000000</v>
      </c>
      <c r="F183" s="5">
        <v>23121000000000</v>
      </c>
      <c r="G183" s="5">
        <v>22990000000000</v>
      </c>
    </row>
    <row r="184" spans="3:26" ht="15.5" x14ac:dyDescent="0.35">
      <c r="C184" t="s">
        <v>22</v>
      </c>
      <c r="F184" s="5">
        <v>90000000000</v>
      </c>
      <c r="G184" s="5">
        <v>3190000000000</v>
      </c>
    </row>
    <row r="185" spans="3:26" ht="15.5" x14ac:dyDescent="0.35">
      <c r="C185" t="s">
        <v>19</v>
      </c>
      <c r="D185" s="5">
        <v>-4704000000000</v>
      </c>
      <c r="E185" s="5">
        <v>-2756000000000</v>
      </c>
      <c r="F185" s="5">
        <v>-4839000000000</v>
      </c>
      <c r="G185" s="5">
        <v>-3135000000000</v>
      </c>
    </row>
    <row r="186" spans="3:26" ht="15.5" x14ac:dyDescent="0.35">
      <c r="C186" t="s">
        <v>208</v>
      </c>
      <c r="D186" s="5">
        <v>7328000000000</v>
      </c>
      <c r="E186" s="5">
        <v>6662000000000</v>
      </c>
      <c r="F186" s="5">
        <v>5774000000000</v>
      </c>
      <c r="G186" s="5">
        <v>6857000000000</v>
      </c>
    </row>
    <row r="187" spans="3:26" ht="15.5" x14ac:dyDescent="0.35">
      <c r="C187" t="s">
        <v>209</v>
      </c>
      <c r="D187" s="5">
        <v>2084000000000</v>
      </c>
      <c r="E187" s="5">
        <v>-1546000000000</v>
      </c>
      <c r="F187" s="5">
        <v>1909000000000</v>
      </c>
      <c r="G187" s="5">
        <v>1532000000000</v>
      </c>
    </row>
    <row r="188" spans="3:26" ht="15.5" x14ac:dyDescent="0.35">
      <c r="C188" t="s">
        <v>210</v>
      </c>
      <c r="D188" s="5">
        <v>-138000000000</v>
      </c>
      <c r="E188" s="5">
        <v>-351000000000</v>
      </c>
      <c r="F188" s="5">
        <v>-181000000000</v>
      </c>
      <c r="G188" s="5">
        <v>-141000000000</v>
      </c>
    </row>
    <row r="189" spans="3:26" ht="15.5" x14ac:dyDescent="0.35">
      <c r="C189" t="s">
        <v>11</v>
      </c>
      <c r="D189" s="5">
        <v>1946000000000</v>
      </c>
      <c r="E189" s="5">
        <v>-1896000000000</v>
      </c>
      <c r="F189" s="5">
        <v>1727000000000</v>
      </c>
      <c r="G189" s="5">
        <v>1391000000000</v>
      </c>
    </row>
    <row r="190" spans="3:26" ht="15.5" x14ac:dyDescent="0.35">
      <c r="C190" t="s">
        <v>14</v>
      </c>
      <c r="D190" s="6">
        <v>1011.13</v>
      </c>
      <c r="E190" s="6">
        <v>-985.32</v>
      </c>
      <c r="F190" s="6">
        <v>897.37</v>
      </c>
      <c r="G190" s="6">
        <v>722.81</v>
      </c>
    </row>
    <row r="191" spans="3:26" ht="15.5" x14ac:dyDescent="0.35">
      <c r="C191" t="s">
        <v>43</v>
      </c>
      <c r="I191" s="6">
        <v>764.65</v>
      </c>
      <c r="J191" s="6">
        <v>596.22</v>
      </c>
      <c r="K191" s="6">
        <v>548.61</v>
      </c>
      <c r="L191" s="6">
        <v>897.08</v>
      </c>
      <c r="M191" s="6">
        <v>1024.25</v>
      </c>
      <c r="N191" s="6">
        <v>432.84</v>
      </c>
      <c r="O191" s="6">
        <v>109.69</v>
      </c>
      <c r="P191" s="6">
        <v>747.4</v>
      </c>
      <c r="Q191" s="6">
        <v>1044.5</v>
      </c>
      <c r="R191" s="6">
        <v>1042.75</v>
      </c>
      <c r="S191" s="6">
        <v>393.15</v>
      </c>
      <c r="T191" s="6">
        <v>1589.91</v>
      </c>
      <c r="U191" s="6">
        <v>1143.93</v>
      </c>
      <c r="V191" s="6">
        <v>1530.57</v>
      </c>
      <c r="W191" s="6">
        <v>1527.59</v>
      </c>
      <c r="X191" s="6">
        <v>1335.87</v>
      </c>
      <c r="Y191" s="6">
        <v>1098.3699999999999</v>
      </c>
      <c r="Z191" s="6">
        <v>1724.42</v>
      </c>
    </row>
    <row r="192" spans="3:26" ht="15.5" x14ac:dyDescent="0.35">
      <c r="C192" t="s">
        <v>55</v>
      </c>
      <c r="I192" s="6">
        <v>9.64</v>
      </c>
      <c r="J192" s="6">
        <v>10.4</v>
      </c>
      <c r="K192" s="6">
        <v>12.81</v>
      </c>
      <c r="L192" s="6">
        <v>8.9499999999999993</v>
      </c>
      <c r="M192" s="6">
        <v>9.2799999999999994</v>
      </c>
      <c r="N192" s="6">
        <v>28.47</v>
      </c>
      <c r="O192" s="6">
        <v>132.87</v>
      </c>
      <c r="P192" s="6">
        <v>15.82</v>
      </c>
      <c r="Q192" s="6">
        <v>12.59</v>
      </c>
      <c r="R192" s="6">
        <v>16.09</v>
      </c>
      <c r="S192" s="6">
        <v>46.94</v>
      </c>
      <c r="T192" s="6">
        <v>17.760000000000002</v>
      </c>
      <c r="U192" s="6">
        <v>25.55</v>
      </c>
      <c r="V192" s="6">
        <v>14.99</v>
      </c>
      <c r="W192" s="6">
        <v>16.54</v>
      </c>
      <c r="X192" s="6">
        <v>22.84</v>
      </c>
      <c r="Y192" s="6">
        <v>24.12</v>
      </c>
      <c r="Z192" s="6">
        <v>6.62</v>
      </c>
    </row>
    <row r="193" spans="3:26" ht="15.5" x14ac:dyDescent="0.35">
      <c r="C193" t="s">
        <v>58</v>
      </c>
      <c r="I193" s="6">
        <v>0.5</v>
      </c>
      <c r="J193" s="6">
        <v>0.55000000000000004</v>
      </c>
      <c r="K193" s="6">
        <v>0.65</v>
      </c>
      <c r="L193" s="6">
        <v>0.71</v>
      </c>
      <c r="M193" s="6">
        <v>0.75</v>
      </c>
      <c r="N193" s="6">
        <v>1.26</v>
      </c>
      <c r="O193" s="6">
        <v>1.61</v>
      </c>
      <c r="P193" s="6">
        <v>1.19</v>
      </c>
      <c r="Q193" s="6">
        <v>1.46</v>
      </c>
      <c r="R193" s="6">
        <v>2.29</v>
      </c>
      <c r="S193" s="6">
        <v>2.23</v>
      </c>
      <c r="T193" s="6">
        <v>2.73</v>
      </c>
      <c r="U193" s="6">
        <v>3.63</v>
      </c>
      <c r="V193" s="6">
        <v>3.12</v>
      </c>
      <c r="W193" s="6">
        <v>3.69</v>
      </c>
      <c r="X193" s="6">
        <v>5.43</v>
      </c>
      <c r="Y193" s="6">
        <v>5.62</v>
      </c>
      <c r="Z193" s="6">
        <v>2.2000000000000002</v>
      </c>
    </row>
    <row r="194" spans="3:26" ht="15.5" x14ac:dyDescent="0.35">
      <c r="C194" t="s">
        <v>211</v>
      </c>
      <c r="I194" s="5">
        <v>3911350000000</v>
      </c>
      <c r="J194" s="5">
        <v>3094660000000</v>
      </c>
      <c r="K194" s="5">
        <v>2614630000000</v>
      </c>
      <c r="L194" s="5">
        <v>3656890000000</v>
      </c>
      <c r="M194" s="5">
        <v>4712120000000</v>
      </c>
      <c r="N194" s="5">
        <v>3179060000000</v>
      </c>
      <c r="O194" s="5">
        <v>2264010000000</v>
      </c>
      <c r="P194" s="5">
        <v>3586080000000</v>
      </c>
    </row>
    <row r="195" spans="3:26" ht="15.5" x14ac:dyDescent="0.35">
      <c r="C195" t="s">
        <v>212</v>
      </c>
      <c r="I195" s="6">
        <v>5.4400000000000004E-2</v>
      </c>
      <c r="J195" s="6">
        <v>3.9900000000000005E-2</v>
      </c>
      <c r="K195" s="6">
        <v>3.6600000000000001E-2</v>
      </c>
      <c r="L195" s="6">
        <v>5.9000000000000004E-2</v>
      </c>
      <c r="M195" s="6">
        <v>6.480000000000001E-2</v>
      </c>
      <c r="N195" s="6">
        <v>0.03</v>
      </c>
      <c r="O195" s="6">
        <v>7.8000000000000005E-3</v>
      </c>
      <c r="P195" s="6">
        <v>5.3600000000000002E-2</v>
      </c>
      <c r="Q195" s="6">
        <v>8.0600000000000005E-2</v>
      </c>
      <c r="R195" s="6">
        <v>8.2799999999999999E-2</v>
      </c>
      <c r="S195" s="6">
        <v>2.8799999999999999E-2</v>
      </c>
      <c r="T195" s="6">
        <v>0.13489999999999999</v>
      </c>
      <c r="U195" s="6">
        <v>0.12039999999999999</v>
      </c>
      <c r="V195" s="6">
        <v>0.19409999999999999</v>
      </c>
      <c r="W195" s="6">
        <v>0.23569999999999999</v>
      </c>
      <c r="X195" s="6">
        <v>0.23929999999999998</v>
      </c>
      <c r="Y195" s="6">
        <v>0.22839999999999999</v>
      </c>
      <c r="Z195" s="6">
        <v>0.41649999999999998</v>
      </c>
    </row>
    <row r="196" spans="3:26" ht="15.5" x14ac:dyDescent="0.35">
      <c r="C196" t="s">
        <v>213</v>
      </c>
      <c r="I196" s="6">
        <v>6.25E-2</v>
      </c>
      <c r="J196" s="6">
        <v>5.0700000000000002E-2</v>
      </c>
      <c r="K196" s="6">
        <v>4.8000000000000001E-2</v>
      </c>
      <c r="L196" s="6">
        <v>7.9600000000000004E-2</v>
      </c>
      <c r="M196" s="6">
        <v>9.5600000000000004E-2</v>
      </c>
      <c r="N196" s="6">
        <v>4.4400000000000002E-2</v>
      </c>
      <c r="O196" s="6">
        <v>1.1399999999999999E-2</v>
      </c>
      <c r="P196" s="6">
        <v>7.5800000000000006E-2</v>
      </c>
      <c r="Q196" s="6">
        <v>0.11130000000000001</v>
      </c>
      <c r="R196" s="6">
        <v>0.11710000000000001</v>
      </c>
      <c r="S196" s="6">
        <v>5.4900000000000004E-2</v>
      </c>
      <c r="T196" s="6">
        <v>0.21920000000000001</v>
      </c>
      <c r="U196" s="6">
        <v>0.18210000000000001</v>
      </c>
      <c r="V196" s="6">
        <v>0.26690000000000003</v>
      </c>
      <c r="W196" s="6">
        <v>0.29549999999999998</v>
      </c>
      <c r="X196" s="6">
        <v>0.29170000000000001</v>
      </c>
      <c r="Y196" s="6">
        <v>0.27779999999999999</v>
      </c>
      <c r="Z196" s="6">
        <v>0.52659999999999996</v>
      </c>
    </row>
    <row r="197" spans="3:26" ht="15.5" x14ac:dyDescent="0.35">
      <c r="C197" t="s">
        <v>214</v>
      </c>
      <c r="I197" s="6">
        <v>9.5500000000000002E-2</v>
      </c>
      <c r="J197" s="6">
        <v>6.5700000000000008E-2</v>
      </c>
      <c r="K197" s="6">
        <v>4.8000000000000001E-2</v>
      </c>
      <c r="L197" s="6">
        <v>9.1400000000000009E-2</v>
      </c>
      <c r="M197" s="6">
        <v>0.13600000000000001</v>
      </c>
      <c r="N197" s="6">
        <v>7.17E-2</v>
      </c>
      <c r="O197" s="6">
        <v>3.9E-2</v>
      </c>
      <c r="P197" s="6">
        <v>0.1002</v>
      </c>
      <c r="Q197" s="6">
        <v>0.14219999999999999</v>
      </c>
      <c r="R197" s="6">
        <v>0.1389</v>
      </c>
      <c r="S197" s="6">
        <v>0.1143</v>
      </c>
      <c r="T197" s="6">
        <v>0.29020000000000001</v>
      </c>
      <c r="U197" s="6">
        <v>0.2858</v>
      </c>
      <c r="V197" s="6">
        <v>0.37170000000000003</v>
      </c>
      <c r="W197" s="6">
        <v>0.38750000000000001</v>
      </c>
      <c r="X197" s="6">
        <v>0.41759999999999997</v>
      </c>
      <c r="Y197" s="6">
        <v>0.43020000000000003</v>
      </c>
      <c r="Z197" s="6">
        <v>1.2273000000000001</v>
      </c>
    </row>
    <row r="198" spans="3:26" ht="15.5" x14ac:dyDescent="0.35">
      <c r="C198" t="s">
        <v>215</v>
      </c>
      <c r="I198" s="6">
        <v>17.36</v>
      </c>
      <c r="J198" s="6">
        <v>6.27</v>
      </c>
      <c r="K198" s="6">
        <v>4.66</v>
      </c>
      <c r="L198" s="6">
        <v>6.44</v>
      </c>
      <c r="M198" s="6">
        <v>8.69</v>
      </c>
      <c r="N198" s="6">
        <v>4.4000000000000004</v>
      </c>
      <c r="O198" s="6">
        <v>2.74</v>
      </c>
      <c r="P198" s="6">
        <v>10.33</v>
      </c>
      <c r="Q198" s="6">
        <v>23.04</v>
      </c>
      <c r="R198" s="6">
        <v>18.350000000000001</v>
      </c>
      <c r="S198" s="6">
        <v>14.77</v>
      </c>
      <c r="T198" s="6">
        <v>38.74</v>
      </c>
      <c r="U198" s="6">
        <v>6.77</v>
      </c>
      <c r="V198" s="6">
        <v>118.29</v>
      </c>
      <c r="W198" s="6">
        <v>550.41</v>
      </c>
      <c r="X198" s="6">
        <v>363.13</v>
      </c>
      <c r="Y198" s="6">
        <v>85.25</v>
      </c>
      <c r="Z198" s="6">
        <v>18867.84</v>
      </c>
    </row>
    <row r="199" spans="3:26" ht="15.5" x14ac:dyDescent="0.35">
      <c r="C199" t="s">
        <v>52</v>
      </c>
      <c r="I199" s="6">
        <v>0.6</v>
      </c>
      <c r="J199" s="6">
        <v>0.53</v>
      </c>
      <c r="K199" s="6">
        <v>0.61</v>
      </c>
      <c r="L199" s="6">
        <v>0.71</v>
      </c>
      <c r="M199" s="6">
        <v>0.89</v>
      </c>
      <c r="N199" s="6">
        <v>1.26</v>
      </c>
      <c r="O199" s="6">
        <v>1.51</v>
      </c>
      <c r="P199" s="6">
        <v>1.2</v>
      </c>
      <c r="Q199" s="6">
        <v>1.4</v>
      </c>
      <c r="R199" s="6">
        <v>1.88</v>
      </c>
      <c r="S199" s="6">
        <v>2.58</v>
      </c>
      <c r="T199" s="6">
        <v>3.89</v>
      </c>
      <c r="U199" s="6">
        <v>4.6500000000000004</v>
      </c>
      <c r="V199" s="5">
        <v>4</v>
      </c>
      <c r="W199" s="6">
        <v>4.8899999999999997</v>
      </c>
      <c r="X199" s="6">
        <v>6.66</v>
      </c>
      <c r="Y199" s="6">
        <v>6.7</v>
      </c>
      <c r="Z199" s="6">
        <v>3.48</v>
      </c>
    </row>
    <row r="200" spans="3:26" ht="15.5" x14ac:dyDescent="0.35">
      <c r="C200" t="s">
        <v>49</v>
      </c>
      <c r="I200" s="6">
        <v>12238.94</v>
      </c>
      <c r="J200" s="6">
        <v>11763.94</v>
      </c>
      <c r="K200" s="6">
        <v>11438.76</v>
      </c>
      <c r="L200" s="6">
        <v>11266.26</v>
      </c>
      <c r="M200" s="5">
        <v>10713</v>
      </c>
      <c r="N200" s="6">
        <v>9743.1299999999992</v>
      </c>
      <c r="O200" s="6">
        <v>9622.94</v>
      </c>
      <c r="P200" s="6">
        <v>9866.34</v>
      </c>
      <c r="Q200" s="6">
        <v>9386.43</v>
      </c>
      <c r="R200" s="6">
        <v>8902.89</v>
      </c>
      <c r="S200" s="6">
        <v>7166.12</v>
      </c>
      <c r="T200" s="6">
        <v>7251.59</v>
      </c>
      <c r="U200" s="6">
        <v>6283.3</v>
      </c>
      <c r="V200" s="6">
        <v>5733.74</v>
      </c>
      <c r="W200" s="6">
        <v>5168.8500000000004</v>
      </c>
      <c r="X200" s="6">
        <v>4579.59</v>
      </c>
      <c r="Y200" s="6">
        <v>3953.89</v>
      </c>
      <c r="Z200" s="6">
        <v>3274.34</v>
      </c>
    </row>
    <row r="201" spans="3:26" ht="15.5" x14ac:dyDescent="0.35">
      <c r="C201" t="s">
        <v>216</v>
      </c>
      <c r="I201" s="6">
        <v>0.6</v>
      </c>
      <c r="J201" s="6">
        <v>0.53</v>
      </c>
      <c r="K201" s="6">
        <v>0.62</v>
      </c>
      <c r="L201" s="6">
        <v>0.71</v>
      </c>
      <c r="M201" s="6">
        <v>0.89</v>
      </c>
      <c r="N201" s="6">
        <v>1.27</v>
      </c>
      <c r="O201" s="6">
        <v>1.52</v>
      </c>
      <c r="P201" s="6">
        <v>1.2</v>
      </c>
      <c r="Q201" s="6">
        <v>1.41</v>
      </c>
      <c r="R201" s="6">
        <v>1.89</v>
      </c>
      <c r="S201" s="6">
        <v>2.59</v>
      </c>
      <c r="T201" s="6">
        <v>3.91</v>
      </c>
      <c r="U201" s="6">
        <v>4.68</v>
      </c>
      <c r="V201" s="6">
        <v>4.03</v>
      </c>
      <c r="W201" s="6">
        <v>4.92</v>
      </c>
      <c r="X201" s="6">
        <v>6.71</v>
      </c>
      <c r="Y201" s="6">
        <v>6.77</v>
      </c>
      <c r="Z201" s="6">
        <v>3.54</v>
      </c>
    </row>
    <row r="202" spans="3:26" ht="15.5" x14ac:dyDescent="0.35">
      <c r="C202" t="s">
        <v>217</v>
      </c>
      <c r="I202" s="6">
        <v>12209.87</v>
      </c>
      <c r="J202" s="6">
        <v>11734.87</v>
      </c>
      <c r="K202" s="6">
        <v>11409.69</v>
      </c>
      <c r="L202" s="6">
        <v>11237.19</v>
      </c>
      <c r="M202" s="6">
        <v>10683.93</v>
      </c>
      <c r="N202" s="6">
        <v>9714.06</v>
      </c>
      <c r="O202" s="6">
        <v>9593.8700000000008</v>
      </c>
      <c r="P202" s="6">
        <v>9837.27</v>
      </c>
      <c r="Q202" s="6">
        <v>9357.36</v>
      </c>
      <c r="R202" s="6">
        <v>8873.82</v>
      </c>
      <c r="S202" s="6">
        <v>7130.59</v>
      </c>
      <c r="T202" s="6">
        <v>7216.06</v>
      </c>
      <c r="U202" s="6">
        <v>6247.77</v>
      </c>
      <c r="V202" s="6">
        <v>5698.21</v>
      </c>
      <c r="W202" s="6">
        <v>5133.32</v>
      </c>
      <c r="X202" s="6">
        <v>4545.7299999999996</v>
      </c>
      <c r="Y202" s="6">
        <v>3914.8</v>
      </c>
      <c r="Z202" s="6">
        <v>3227.37</v>
      </c>
    </row>
    <row r="203" spans="3:26" ht="15.5" x14ac:dyDescent="0.35">
      <c r="C203" t="s">
        <v>218</v>
      </c>
      <c r="J203" s="5">
        <v>1690000000000</v>
      </c>
      <c r="K203" s="5">
        <v>2315000000000</v>
      </c>
      <c r="L203" s="5">
        <v>5000000000</v>
      </c>
      <c r="M203" s="5">
        <v>3564000000000</v>
      </c>
      <c r="O203" s="5">
        <v>150000000000</v>
      </c>
      <c r="P203" s="5">
        <v>1125000000000</v>
      </c>
      <c r="Q203" s="5">
        <v>600000000000</v>
      </c>
      <c r="R203" s="5">
        <v>1985000000000</v>
      </c>
      <c r="S203" s="5">
        <v>2025000000000</v>
      </c>
      <c r="T203" s="5">
        <v>2299000000000</v>
      </c>
      <c r="U203" s="5">
        <v>2152000000000</v>
      </c>
      <c r="V203" s="5">
        <v>972000000000</v>
      </c>
    </row>
    <row r="204" spans="3:26" ht="15.5" x14ac:dyDescent="0.35">
      <c r="C204" t="s">
        <v>219</v>
      </c>
      <c r="J204" s="5">
        <v>1500000000000</v>
      </c>
      <c r="K204" s="5">
        <v>1690000000000</v>
      </c>
      <c r="L204" s="5">
        <v>4049000000000</v>
      </c>
      <c r="M204" s="5">
        <v>2132000000000</v>
      </c>
      <c r="N204" s="5">
        <v>5624000000000</v>
      </c>
      <c r="O204" s="5">
        <v>5535000000000</v>
      </c>
      <c r="P204" s="5">
        <v>3606000000000</v>
      </c>
      <c r="Q204" s="5">
        <v>3369000000000</v>
      </c>
      <c r="R204" s="5">
        <v>2116000000000</v>
      </c>
      <c r="S204" s="5">
        <v>5708000000000</v>
      </c>
      <c r="T204" s="5">
        <v>2128000000000</v>
      </c>
      <c r="U204" s="5">
        <v>571000000000</v>
      </c>
    </row>
    <row r="205" spans="3:26" ht="15.5" x14ac:dyDescent="0.35">
      <c r="C205" t="s">
        <v>24</v>
      </c>
      <c r="J205" s="5">
        <v>3190000000000</v>
      </c>
      <c r="K205" s="5">
        <v>4005000000000</v>
      </c>
      <c r="L205" s="5">
        <v>4054000000000</v>
      </c>
      <c r="M205" s="5">
        <v>5696000000000</v>
      </c>
      <c r="N205" s="5">
        <v>5624000000000</v>
      </c>
      <c r="O205" s="5">
        <v>5685000000000</v>
      </c>
      <c r="P205" s="5">
        <v>4731000000000</v>
      </c>
      <c r="Q205" s="5">
        <v>3969000000000</v>
      </c>
      <c r="R205" s="5">
        <v>4101000000000</v>
      </c>
      <c r="S205" s="5">
        <v>7733000000000</v>
      </c>
      <c r="T205" s="5">
        <v>4427000000000</v>
      </c>
      <c r="U205" s="5">
        <v>2723000000000</v>
      </c>
      <c r="V205" s="5">
        <v>972000000000</v>
      </c>
    </row>
    <row r="206" spans="3:26" ht="15.5" x14ac:dyDescent="0.35">
      <c r="C206" t="s">
        <v>21</v>
      </c>
      <c r="I206" s="5">
        <v>-2756000000000</v>
      </c>
      <c r="J206" s="5">
        <v>-46000000000</v>
      </c>
      <c r="K206" s="5">
        <v>1916000000000</v>
      </c>
      <c r="L206" s="5">
        <v>2434000000000</v>
      </c>
      <c r="M206" s="5">
        <v>1800000000000</v>
      </c>
      <c r="N206" s="5">
        <v>4645000000000</v>
      </c>
      <c r="O206" s="5">
        <v>5302000000000</v>
      </c>
      <c r="P206" s="5">
        <v>4682000000000</v>
      </c>
      <c r="Q206" s="5">
        <v>3707000000000</v>
      </c>
      <c r="R206" s="5">
        <v>3569000000000</v>
      </c>
      <c r="S206" s="5">
        <v>7438000000000</v>
      </c>
      <c r="T206" s="5">
        <v>3816000000000</v>
      </c>
      <c r="U206" s="5">
        <v>2014000000000</v>
      </c>
      <c r="V206" s="5">
        <v>744000000000</v>
      </c>
      <c r="W206" s="5">
        <v>-838000000000</v>
      </c>
      <c r="X206" s="5">
        <v>-1241000000000</v>
      </c>
      <c r="Y206" s="5">
        <v>-789000000000</v>
      </c>
      <c r="Z206" s="5">
        <v>-868000000000</v>
      </c>
    </row>
    <row r="207" spans="3:26" ht="15.5" x14ac:dyDescent="0.35">
      <c r="C207" t="s">
        <v>220</v>
      </c>
      <c r="I207" s="5">
        <v>6662000000000</v>
      </c>
      <c r="J207" s="5">
        <v>5196000000000</v>
      </c>
      <c r="K207" s="5">
        <v>3236000000000</v>
      </c>
      <c r="L207" s="5">
        <v>5338000000000</v>
      </c>
      <c r="M207" s="5">
        <v>3454000000000</v>
      </c>
      <c r="N207" s="5">
        <v>4145000000000</v>
      </c>
      <c r="O207" s="5">
        <v>2905000000000</v>
      </c>
      <c r="P207" s="5">
        <v>1424000000000</v>
      </c>
      <c r="Q207" s="5">
        <v>1936000000000</v>
      </c>
      <c r="R207" s="5">
        <v>109000000000</v>
      </c>
      <c r="S207" s="5">
        <v>-708000000000</v>
      </c>
      <c r="T207" s="5">
        <v>-1707000000000</v>
      </c>
      <c r="U207" s="5">
        <v>-2068000000000</v>
      </c>
      <c r="V207" s="5">
        <v>-820000000000</v>
      </c>
      <c r="W207" s="5">
        <v>446000000000</v>
      </c>
      <c r="X207" s="5">
        <v>989000000000</v>
      </c>
      <c r="Y207" s="5">
        <v>775000000000</v>
      </c>
      <c r="Z207" s="5">
        <v>959000000000</v>
      </c>
    </row>
    <row r="208" spans="3:26" ht="15.5" x14ac:dyDescent="0.35">
      <c r="C208" t="s">
        <v>221</v>
      </c>
      <c r="I208" s="5">
        <v>4211000000000</v>
      </c>
      <c r="J208" s="5">
        <v>3379000000000</v>
      </c>
      <c r="K208" s="5">
        <v>2539000000000</v>
      </c>
      <c r="L208" s="5">
        <v>1835000000000</v>
      </c>
      <c r="M208" s="5">
        <v>4895000000000</v>
      </c>
      <c r="N208" s="5">
        <v>2322000000000</v>
      </c>
      <c r="O208" s="5">
        <v>1292000000000</v>
      </c>
      <c r="P208" s="5">
        <v>2045000000000</v>
      </c>
      <c r="Q208" s="5">
        <v>2842000000000</v>
      </c>
      <c r="R208" s="5">
        <v>2512000000000</v>
      </c>
      <c r="S208" s="5">
        <v>1028000000000</v>
      </c>
      <c r="T208" s="5">
        <v>3022000000000</v>
      </c>
      <c r="U208" s="5">
        <v>3157000000000</v>
      </c>
      <c r="V208" s="5">
        <v>2610000000000</v>
      </c>
      <c r="W208" s="5">
        <v>3162000000000</v>
      </c>
      <c r="X208" s="5">
        <v>2947000000000</v>
      </c>
      <c r="Y208" s="5">
        <v>1985000000000</v>
      </c>
      <c r="Z208" s="5">
        <v>2087000000000</v>
      </c>
    </row>
    <row r="209" spans="2:26" ht="15.5" x14ac:dyDescent="0.35">
      <c r="C209" t="s">
        <v>222</v>
      </c>
      <c r="I209" s="5">
        <v>-782000000000</v>
      </c>
      <c r="J209" s="5">
        <v>-941000000000</v>
      </c>
      <c r="K209" s="5">
        <v>-1236000000000</v>
      </c>
      <c r="L209" s="5">
        <v>-1379000000000</v>
      </c>
      <c r="M209" s="5">
        <v>-1229000000000</v>
      </c>
      <c r="N209" s="5">
        <v>-971000000000</v>
      </c>
      <c r="O209" s="5">
        <v>-1272000000000</v>
      </c>
      <c r="P209" s="5">
        <v>-1577000000000</v>
      </c>
      <c r="Q209" s="5">
        <v>-1663000000000</v>
      </c>
      <c r="R209" s="5">
        <v>-2350000000000</v>
      </c>
      <c r="S209" s="5">
        <v>-3044000000000</v>
      </c>
      <c r="T209" s="5">
        <v>-3278000000000</v>
      </c>
      <c r="U209" s="5">
        <v>-2861000000000</v>
      </c>
      <c r="V209" s="5">
        <v>-2631000000000</v>
      </c>
      <c r="W209" s="5">
        <v>-2033000000000</v>
      </c>
      <c r="X209" s="5">
        <v>-1536000000000</v>
      </c>
      <c r="Y209" s="5">
        <v>-1284000000000</v>
      </c>
      <c r="Z209" s="5">
        <v>-1279000000000</v>
      </c>
    </row>
    <row r="210" spans="2:26" ht="15.5" x14ac:dyDescent="0.35">
      <c r="C210" t="s">
        <v>13</v>
      </c>
      <c r="I210" s="5">
        <v>3429000000000</v>
      </c>
      <c r="J210" s="5">
        <v>2439000000000</v>
      </c>
      <c r="K210" s="5">
        <v>1302000000000</v>
      </c>
      <c r="L210" s="5">
        <v>456000000000</v>
      </c>
      <c r="M210" s="5">
        <v>3666000000000</v>
      </c>
      <c r="N210" s="5">
        <v>1352000000000</v>
      </c>
      <c r="O210" s="5">
        <v>20000000000</v>
      </c>
      <c r="P210" s="5">
        <v>468000000000</v>
      </c>
      <c r="Q210" s="5">
        <v>1179000000000</v>
      </c>
      <c r="R210" s="5">
        <v>162000000000</v>
      </c>
      <c r="S210" s="5">
        <v>-2017000000000</v>
      </c>
      <c r="T210" s="5">
        <v>-256000000000</v>
      </c>
      <c r="U210" s="5">
        <v>295000000000</v>
      </c>
      <c r="V210" s="5">
        <v>-21000000000</v>
      </c>
      <c r="W210" s="5">
        <v>1130000000000</v>
      </c>
      <c r="X210" s="5">
        <v>1411000000000</v>
      </c>
      <c r="Y210" s="5">
        <v>701000000000</v>
      </c>
      <c r="Z210" s="5">
        <v>808000000000</v>
      </c>
    </row>
    <row r="211" spans="2:26" ht="15.5" x14ac:dyDescent="0.35">
      <c r="C211" t="s">
        <v>15</v>
      </c>
      <c r="I211" s="6">
        <v>1781.38</v>
      </c>
      <c r="J211" s="6">
        <v>1267.01</v>
      </c>
      <c r="K211" s="6">
        <v>676.68</v>
      </c>
      <c r="L211" s="6">
        <v>236.9</v>
      </c>
      <c r="M211" s="6">
        <v>1904.54</v>
      </c>
      <c r="N211" s="6">
        <v>702.27</v>
      </c>
      <c r="O211" s="6">
        <v>10.64</v>
      </c>
      <c r="P211" s="6">
        <v>243.34</v>
      </c>
      <c r="Q211" s="6">
        <v>612.64</v>
      </c>
      <c r="R211" s="6">
        <v>84.12</v>
      </c>
      <c r="S211" s="6">
        <v>-1280.6500000000001</v>
      </c>
      <c r="T211" s="6">
        <v>-162.69999999999999</v>
      </c>
      <c r="U211" s="6">
        <v>187.38</v>
      </c>
      <c r="V211" s="6">
        <v>-13.36</v>
      </c>
      <c r="W211" s="6">
        <v>717.5</v>
      </c>
      <c r="X211" s="6">
        <v>895.73</v>
      </c>
      <c r="Y211" s="6">
        <v>445.09</v>
      </c>
      <c r="Z211" s="6">
        <v>513.11</v>
      </c>
    </row>
    <row r="213" spans="2:26" ht="15.5" x14ac:dyDescent="0.35">
      <c r="B213" t="s">
        <v>223</v>
      </c>
      <c r="C213" t="s">
        <v>224</v>
      </c>
      <c r="D213" s="5">
        <v>373000000000</v>
      </c>
      <c r="E213" s="5">
        <v>402000000000</v>
      </c>
      <c r="F213" s="5">
        <v>368000000000</v>
      </c>
      <c r="G213" s="5">
        <v>425000000000</v>
      </c>
      <c r="H213" s="5">
        <v>1494000000000</v>
      </c>
      <c r="I213" s="5">
        <v>1472000000000</v>
      </c>
      <c r="J213" s="5">
        <v>1148000000000</v>
      </c>
      <c r="K213" s="5">
        <v>1056000000000</v>
      </c>
      <c r="L213" s="5">
        <v>1727000000000</v>
      </c>
      <c r="M213" s="5">
        <v>1971000000000</v>
      </c>
      <c r="N213" s="5">
        <v>833000000000</v>
      </c>
      <c r="O213" s="5">
        <v>211000000000</v>
      </c>
      <c r="P213" s="5">
        <v>1439000000000</v>
      </c>
      <c r="Q213" s="5">
        <v>2010000000000</v>
      </c>
    </row>
    <row r="214" spans="2:26" ht="15.5" x14ac:dyDescent="0.35">
      <c r="C214" t="s">
        <v>225</v>
      </c>
      <c r="H214" s="5">
        <v>1568000000000</v>
      </c>
      <c r="I214" s="5">
        <v>1472000000000</v>
      </c>
      <c r="J214" s="5">
        <v>1148000000000</v>
      </c>
      <c r="K214" s="5">
        <v>1056000000000</v>
      </c>
      <c r="L214" s="5">
        <v>1727000000000</v>
      </c>
      <c r="M214" s="5">
        <v>1971000000000</v>
      </c>
      <c r="N214" s="5">
        <v>833000000000</v>
      </c>
      <c r="O214" s="5">
        <v>211000000000</v>
      </c>
      <c r="P214" s="5">
        <v>1439000000000</v>
      </c>
      <c r="Q214" s="5">
        <v>2010000000000</v>
      </c>
    </row>
    <row r="215" spans="2:26" ht="15.5" x14ac:dyDescent="0.35">
      <c r="C215" t="s">
        <v>226</v>
      </c>
      <c r="H215" s="5">
        <v>458</v>
      </c>
      <c r="I215" s="5">
        <v>458</v>
      </c>
      <c r="J215" s="5">
        <v>268</v>
      </c>
      <c r="K215" s="5">
        <v>247</v>
      </c>
      <c r="L215" s="5">
        <v>404</v>
      </c>
      <c r="M215" s="5">
        <v>461</v>
      </c>
      <c r="N215" s="5">
        <v>195</v>
      </c>
      <c r="O215" s="5">
        <v>49</v>
      </c>
      <c r="P215" s="5">
        <v>336</v>
      </c>
      <c r="Q215" s="5">
        <v>470</v>
      </c>
    </row>
    <row r="216" spans="2:26" ht="15.5" x14ac:dyDescent="0.35">
      <c r="C216" t="s">
        <v>60</v>
      </c>
      <c r="H216" s="6">
        <v>0.59020000000000006</v>
      </c>
      <c r="I216" s="6">
        <v>0.59899999999999998</v>
      </c>
      <c r="J216" s="6">
        <v>0.44950000000000001</v>
      </c>
      <c r="K216" s="6">
        <v>0.45020000000000004</v>
      </c>
      <c r="L216" s="6">
        <v>0.45030000000000003</v>
      </c>
      <c r="M216" s="6">
        <v>0.4501</v>
      </c>
      <c r="N216" s="6">
        <v>0.45049999999999996</v>
      </c>
      <c r="O216" s="6">
        <v>0.44670000000000004</v>
      </c>
      <c r="P216" s="6">
        <v>0.4496</v>
      </c>
      <c r="Q216" s="6">
        <v>0.45</v>
      </c>
    </row>
    <row r="217" spans="2:26" ht="15.5" x14ac:dyDescent="0.35">
      <c r="C217" t="s">
        <v>227</v>
      </c>
      <c r="H217" s="6">
        <v>7.4200000000000002E-2</v>
      </c>
      <c r="I217" s="6">
        <v>5.5199999999999999E-2</v>
      </c>
      <c r="J217" s="6">
        <v>4.4500000000000005E-2</v>
      </c>
      <c r="K217" s="6">
        <v>3.8399999999999997E-2</v>
      </c>
      <c r="L217" s="6">
        <v>4.9299999999999997E-2</v>
      </c>
      <c r="M217" s="6">
        <v>3.5099999999999999E-2</v>
      </c>
      <c r="N217" s="6">
        <v>2.06E-2</v>
      </c>
      <c r="O217" s="6">
        <v>5.6999999999999993E-3</v>
      </c>
      <c r="P217" s="6">
        <v>0.03</v>
      </c>
      <c r="Q217" s="6">
        <v>3.4200000000000001E-2</v>
      </c>
    </row>
    <row r="218" spans="2:26" ht="15.5" x14ac:dyDescent="0.35">
      <c r="C218" t="s">
        <v>42</v>
      </c>
      <c r="D218" s="6">
        <v>194.01</v>
      </c>
      <c r="E218" s="6">
        <v>208.66</v>
      </c>
      <c r="F218" s="6">
        <v>191.2</v>
      </c>
      <c r="G218" s="6">
        <v>220.86</v>
      </c>
      <c r="H218" s="6">
        <v>776.04</v>
      </c>
      <c r="I218" s="6">
        <v>764.65</v>
      </c>
      <c r="J218" s="6">
        <v>596.22</v>
      </c>
      <c r="K218" s="6">
        <v>548.61</v>
      </c>
      <c r="L218" s="6">
        <v>897.08</v>
      </c>
      <c r="M218" s="6">
        <v>1024.25</v>
      </c>
      <c r="N218" s="6">
        <v>432.84</v>
      </c>
      <c r="O218" s="6">
        <v>109.69</v>
      </c>
      <c r="P218" s="6">
        <v>747.4</v>
      </c>
      <c r="Q218" s="6">
        <v>1044.5</v>
      </c>
    </row>
    <row r="219" spans="2:26" ht="15.5" x14ac:dyDescent="0.35">
      <c r="C219" t="s">
        <v>228</v>
      </c>
      <c r="H219" s="6">
        <v>814.72</v>
      </c>
      <c r="I219" s="6">
        <v>764.65</v>
      </c>
      <c r="J219" s="6">
        <v>596.22</v>
      </c>
      <c r="K219" s="6">
        <v>548.61</v>
      </c>
      <c r="L219" s="6">
        <v>897.08</v>
      </c>
      <c r="M219" s="6">
        <v>1024.25</v>
      </c>
      <c r="N219" s="6">
        <v>432.84</v>
      </c>
      <c r="O219" s="6">
        <v>109.69</v>
      </c>
      <c r="P219" s="6">
        <v>747.4</v>
      </c>
      <c r="Q219" s="6">
        <v>1044.5</v>
      </c>
    </row>
    <row r="220" spans="2:26" ht="15.5" x14ac:dyDescent="0.35">
      <c r="C220" t="s">
        <v>62</v>
      </c>
      <c r="H220" s="5">
        <v>458</v>
      </c>
      <c r="I220" s="5">
        <v>458</v>
      </c>
      <c r="J220" s="5">
        <v>268</v>
      </c>
      <c r="K220" s="5">
        <v>247</v>
      </c>
      <c r="L220" s="5">
        <v>404</v>
      </c>
      <c r="M220" s="5">
        <v>461</v>
      </c>
      <c r="N220" s="5">
        <v>195</v>
      </c>
      <c r="O220" s="5">
        <v>49</v>
      </c>
      <c r="P220" s="5">
        <v>336</v>
      </c>
      <c r="Q220" s="5">
        <v>470</v>
      </c>
    </row>
    <row r="221" spans="2:26" ht="15.5" x14ac:dyDescent="0.35">
      <c r="C221" t="s">
        <v>229</v>
      </c>
      <c r="H221" s="6">
        <v>0.59020000000000006</v>
      </c>
      <c r="I221" s="6">
        <v>0.59899999999999998</v>
      </c>
      <c r="J221" s="6">
        <v>0.44950000000000001</v>
      </c>
      <c r="K221" s="6">
        <v>0.45020000000000004</v>
      </c>
      <c r="L221" s="6">
        <v>0.45030000000000003</v>
      </c>
      <c r="M221" s="6">
        <v>0.4501</v>
      </c>
      <c r="N221" s="6">
        <v>0.45049999999999996</v>
      </c>
      <c r="O221" s="6">
        <v>0.44670000000000004</v>
      </c>
      <c r="P221" s="6">
        <v>0.4496</v>
      </c>
      <c r="Q221" s="6">
        <v>0.45</v>
      </c>
    </row>
    <row r="222" spans="2:26" ht="15.5" x14ac:dyDescent="0.35">
      <c r="C222" t="s">
        <v>230</v>
      </c>
      <c r="H222" s="6">
        <v>7.4200000000000002E-2</v>
      </c>
      <c r="I222" s="6">
        <v>5.5199999999999999E-2</v>
      </c>
      <c r="J222" s="6">
        <v>4.4500000000000005E-2</v>
      </c>
      <c r="K222" s="6">
        <v>3.8399999999999997E-2</v>
      </c>
      <c r="L222" s="6">
        <v>4.9299999999999997E-2</v>
      </c>
      <c r="M222" s="6">
        <v>3.5099999999999999E-2</v>
      </c>
      <c r="N222" s="6">
        <v>2.06E-2</v>
      </c>
      <c r="O222" s="6">
        <v>5.6999999999999993E-3</v>
      </c>
      <c r="P222" s="6">
        <v>0.03</v>
      </c>
      <c r="Q222" s="6">
        <v>3.4200000000000001E-2</v>
      </c>
    </row>
    <row r="223" spans="2:26" ht="15.5" x14ac:dyDescent="0.35">
      <c r="C223" t="s">
        <v>231</v>
      </c>
      <c r="D223" s="5">
        <v>7502000000000</v>
      </c>
      <c r="E223" s="5">
        <v>6536000000000</v>
      </c>
      <c r="F223" s="5">
        <v>7672000000000</v>
      </c>
      <c r="G223" s="5">
        <v>7423000000000</v>
      </c>
      <c r="H223" s="5">
        <v>30007000000000</v>
      </c>
      <c r="I223" s="5">
        <v>28655000000000</v>
      </c>
      <c r="J223" s="5">
        <v>21815000000000</v>
      </c>
      <c r="K223" s="5">
        <v>20745000000000</v>
      </c>
      <c r="L223" s="5">
        <v>21829000000000</v>
      </c>
      <c r="M223" s="5">
        <v>24322000000000</v>
      </c>
      <c r="N223" s="5">
        <v>18807000000000</v>
      </c>
      <c r="O223" s="5">
        <v>17453000000000</v>
      </c>
      <c r="P223" s="5">
        <v>19084000000000</v>
      </c>
      <c r="Q223" s="5">
        <v>17306000000000</v>
      </c>
    </row>
    <row r="224" spans="2:26" ht="15.5" x14ac:dyDescent="0.35">
      <c r="C224" t="s">
        <v>232</v>
      </c>
      <c r="H224" s="5">
        <v>29132000000000</v>
      </c>
      <c r="I224" s="5">
        <v>28655000000000</v>
      </c>
      <c r="J224" s="5">
        <v>21815000000000</v>
      </c>
      <c r="K224" s="5">
        <v>20745000000000</v>
      </c>
      <c r="L224" s="5">
        <v>21829000000000</v>
      </c>
      <c r="M224" s="5">
        <v>24322000000000</v>
      </c>
      <c r="N224" s="5">
        <v>18807000000000</v>
      </c>
      <c r="O224" s="5">
        <v>17453000000000</v>
      </c>
      <c r="P224" s="5">
        <v>19084000000000</v>
      </c>
      <c r="Q224" s="5">
        <v>17306000000000</v>
      </c>
    </row>
    <row r="225" spans="3:17" ht="15.5" x14ac:dyDescent="0.35">
      <c r="C225" t="s">
        <v>233</v>
      </c>
      <c r="H225" s="5">
        <v>458</v>
      </c>
      <c r="I225" s="5">
        <v>458</v>
      </c>
      <c r="J225" s="5">
        <v>268</v>
      </c>
      <c r="K225" s="5">
        <v>247</v>
      </c>
      <c r="L225" s="5">
        <v>404</v>
      </c>
      <c r="M225" s="5">
        <v>461</v>
      </c>
      <c r="N225" s="5">
        <v>195</v>
      </c>
      <c r="O225" s="5">
        <v>49</v>
      </c>
      <c r="P225" s="5">
        <v>336</v>
      </c>
      <c r="Q225" s="5">
        <v>470</v>
      </c>
    </row>
    <row r="226" spans="3:17" ht="15.5" x14ac:dyDescent="0.35">
      <c r="C226" t="s">
        <v>234</v>
      </c>
      <c r="H226" s="6">
        <v>0.59020000000000006</v>
      </c>
      <c r="I226" s="6">
        <v>0.59899999999999998</v>
      </c>
      <c r="J226" s="6">
        <v>0.44950000000000001</v>
      </c>
      <c r="K226" s="6">
        <v>0.45020000000000004</v>
      </c>
      <c r="L226" s="6">
        <v>0.45030000000000003</v>
      </c>
      <c r="M226" s="6">
        <v>0.4501</v>
      </c>
      <c r="N226" s="6">
        <v>0.45049999999999996</v>
      </c>
      <c r="O226" s="6">
        <v>0.44670000000000004</v>
      </c>
      <c r="P226" s="6">
        <v>0.4496</v>
      </c>
      <c r="Q226" s="6">
        <v>0.45</v>
      </c>
    </row>
    <row r="227" spans="3:17" ht="15.5" x14ac:dyDescent="0.35">
      <c r="C227" t="s">
        <v>235</v>
      </c>
      <c r="H227" s="6">
        <v>7.4200000000000002E-2</v>
      </c>
      <c r="I227" s="6">
        <v>5.5199999999999999E-2</v>
      </c>
      <c r="J227" s="6">
        <v>4.4500000000000005E-2</v>
      </c>
      <c r="K227" s="6">
        <v>3.8399999999999997E-2</v>
      </c>
      <c r="L227" s="6">
        <v>4.9299999999999997E-2</v>
      </c>
      <c r="M227" s="6">
        <v>3.5099999999999999E-2</v>
      </c>
      <c r="N227" s="6">
        <v>2.06E-2</v>
      </c>
      <c r="O227" s="6">
        <v>5.6999999999999993E-3</v>
      </c>
      <c r="P227" s="6">
        <v>0.03</v>
      </c>
      <c r="Q227" s="6">
        <v>3.4200000000000001E-2</v>
      </c>
    </row>
    <row r="228" spans="3:17" ht="15.5" x14ac:dyDescent="0.35">
      <c r="C228" t="s">
        <v>236</v>
      </c>
      <c r="I228" s="6">
        <v>7.96</v>
      </c>
    </row>
    <row r="229" spans="3:17" ht="15.5" x14ac:dyDescent="0.35">
      <c r="C229" t="s">
        <v>237</v>
      </c>
      <c r="I229" s="6">
        <v>7.58</v>
      </c>
    </row>
    <row r="230" spans="3:17" ht="15.5" x14ac:dyDescent="0.35">
      <c r="C230" t="s">
        <v>238</v>
      </c>
      <c r="I230" s="6">
        <v>7.02</v>
      </c>
    </row>
    <row r="231" spans="3:17" ht="15.5" x14ac:dyDescent="0.35">
      <c r="C231" t="s">
        <v>239</v>
      </c>
      <c r="I231" s="6">
        <v>7.41</v>
      </c>
    </row>
    <row r="232" spans="3:17" ht="15.5" x14ac:dyDescent="0.35">
      <c r="C232" t="s">
        <v>240</v>
      </c>
      <c r="I232" s="6">
        <v>0.13189999999999999</v>
      </c>
    </row>
    <row r="233" spans="3:17" ht="15.5" x14ac:dyDescent="0.35">
      <c r="C233" t="s">
        <v>241</v>
      </c>
      <c r="I233" s="6">
        <v>0.41</v>
      </c>
    </row>
    <row r="234" spans="3:17" ht="15.5" x14ac:dyDescent="0.35">
      <c r="C234" t="s">
        <v>242</v>
      </c>
      <c r="I234" s="6">
        <v>0.5</v>
      </c>
    </row>
    <row r="235" spans="3:17" ht="15.5" x14ac:dyDescent="0.35">
      <c r="C235" t="s">
        <v>243</v>
      </c>
      <c r="I235" s="6">
        <v>2.99</v>
      </c>
    </row>
    <row r="236" spans="3:17" ht="15.5" x14ac:dyDescent="0.35">
      <c r="C236" t="s">
        <v>244</v>
      </c>
      <c r="I236" s="6">
        <v>3.75</v>
      </c>
    </row>
    <row r="237" spans="3:17" ht="15.5" x14ac:dyDescent="0.35">
      <c r="C237" t="s">
        <v>245</v>
      </c>
      <c r="I237" s="6">
        <v>2.93</v>
      </c>
    </row>
    <row r="238" spans="3:17" ht="15.5" x14ac:dyDescent="0.35">
      <c r="C238" t="s">
        <v>246</v>
      </c>
      <c r="I238" s="6">
        <v>1.88</v>
      </c>
    </row>
    <row r="239" spans="3:17" ht="15.5" x14ac:dyDescent="0.35">
      <c r="C239" t="s">
        <v>247</v>
      </c>
      <c r="I239" s="6">
        <v>0.27</v>
      </c>
    </row>
    <row r="240" spans="3:17" ht="15.5" x14ac:dyDescent="0.35">
      <c r="C240" t="s">
        <v>248</v>
      </c>
      <c r="I240" s="6">
        <v>-1.46</v>
      </c>
    </row>
    <row r="241" spans="3:9" ht="15.5" x14ac:dyDescent="0.35">
      <c r="C241" t="s">
        <v>364</v>
      </c>
      <c r="I241" s="6">
        <v>0.64</v>
      </c>
    </row>
    <row r="242" spans="3:9" ht="15.5" x14ac:dyDescent="0.35">
      <c r="C242" t="s">
        <v>249</v>
      </c>
      <c r="I242" s="6">
        <v>814.72</v>
      </c>
    </row>
    <row r="243" spans="3:9" ht="15.5" x14ac:dyDescent="0.35">
      <c r="C243" t="s">
        <v>250</v>
      </c>
      <c r="I243" s="6">
        <v>776.04</v>
      </c>
    </row>
    <row r="244" spans="3:9" ht="15.5" x14ac:dyDescent="0.35">
      <c r="C244" t="s">
        <v>251</v>
      </c>
      <c r="I244" s="6">
        <v>15136.22</v>
      </c>
    </row>
    <row r="245" spans="3:9" ht="15.5" x14ac:dyDescent="0.35">
      <c r="C245" t="s">
        <v>252</v>
      </c>
      <c r="D245" s="6">
        <v>2443.96</v>
      </c>
    </row>
    <row r="246" spans="3:9" ht="15.5" x14ac:dyDescent="0.35">
      <c r="C246" t="s">
        <v>253</v>
      </c>
      <c r="I246" s="6">
        <v>12426.62</v>
      </c>
    </row>
    <row r="247" spans="3:9" ht="15.5" x14ac:dyDescent="0.35">
      <c r="C247" t="s">
        <v>254</v>
      </c>
      <c r="I247" s="6">
        <v>1645.99</v>
      </c>
    </row>
    <row r="248" spans="3:9" ht="15.5" x14ac:dyDescent="0.35">
      <c r="C248" t="s">
        <v>255</v>
      </c>
      <c r="D248" s="5">
        <v>4</v>
      </c>
    </row>
    <row r="249" spans="3:9" ht="15.5" x14ac:dyDescent="0.35">
      <c r="C249" t="s">
        <v>256</v>
      </c>
      <c r="D249" s="6">
        <v>2.8</v>
      </c>
    </row>
    <row r="250" spans="3:9" ht="15.5" x14ac:dyDescent="0.35">
      <c r="C250" t="s">
        <v>259</v>
      </c>
      <c r="D250" s="6">
        <v>0.14000000000000001</v>
      </c>
    </row>
    <row r="251" spans="3:9" ht="15.5" x14ac:dyDescent="0.35">
      <c r="C251" t="s">
        <v>261</v>
      </c>
      <c r="D251" s="6">
        <v>1.17</v>
      </c>
    </row>
    <row r="252" spans="3:9" ht="15.5" x14ac:dyDescent="0.35">
      <c r="C252" t="s">
        <v>262</v>
      </c>
      <c r="I252" s="6">
        <v>29.17</v>
      </c>
    </row>
    <row r="253" spans="3:9" ht="15.5" x14ac:dyDescent="0.35">
      <c r="C253" t="s">
        <v>11</v>
      </c>
      <c r="D253" s="5">
        <v>1946000000000</v>
      </c>
    </row>
    <row r="254" spans="3:9" ht="15.5" x14ac:dyDescent="0.35">
      <c r="C254" t="s">
        <v>263</v>
      </c>
      <c r="I254" s="6">
        <v>12.07</v>
      </c>
    </row>
    <row r="255" spans="3:9" ht="15.5" x14ac:dyDescent="0.35">
      <c r="C255" t="s">
        <v>264</v>
      </c>
      <c r="I255" s="6">
        <v>5.62E-2</v>
      </c>
    </row>
    <row r="256" spans="3:9" ht="15.5" x14ac:dyDescent="0.35">
      <c r="C256" t="s">
        <v>265</v>
      </c>
      <c r="I256" s="6">
        <v>6.5599999999999992E-2</v>
      </c>
    </row>
    <row r="257" spans="3:9" ht="15.5" x14ac:dyDescent="0.35">
      <c r="C257" t="s">
        <v>266</v>
      </c>
      <c r="I257" s="6">
        <v>0.10550000000000001</v>
      </c>
    </row>
    <row r="258" spans="3:9" ht="15.5" x14ac:dyDescent="0.35">
      <c r="C258" t="s">
        <v>267</v>
      </c>
      <c r="I258" s="6">
        <v>7.4999999999999997E-2</v>
      </c>
    </row>
    <row r="259" spans="3:9" ht="15.5" x14ac:dyDescent="0.35">
      <c r="C259" t="s">
        <v>268</v>
      </c>
      <c r="D259" s="6">
        <v>12.76</v>
      </c>
    </row>
    <row r="260" spans="3:9" ht="15.5" x14ac:dyDescent="0.35">
      <c r="C260" t="s">
        <v>269</v>
      </c>
      <c r="D260" s="6">
        <v>44.34</v>
      </c>
    </row>
    <row r="261" spans="3:9" ht="15.5" x14ac:dyDescent="0.35">
      <c r="C261" t="s">
        <v>270</v>
      </c>
      <c r="D261" s="6">
        <v>12.96</v>
      </c>
    </row>
    <row r="262" spans="3:9" ht="15.5" x14ac:dyDescent="0.35">
      <c r="C262" t="s">
        <v>271</v>
      </c>
      <c r="D262" s="6">
        <v>44.14</v>
      </c>
    </row>
    <row r="263" spans="3:9" ht="15.5" x14ac:dyDescent="0.35">
      <c r="C263" t="s">
        <v>272</v>
      </c>
      <c r="D263" s="6">
        <v>7.13</v>
      </c>
    </row>
    <row r="264" spans="3:9" ht="15.5" x14ac:dyDescent="0.35">
      <c r="C264" t="s">
        <v>273</v>
      </c>
      <c r="I264" s="6">
        <v>1.06</v>
      </c>
    </row>
    <row r="265" spans="3:9" ht="15.5" x14ac:dyDescent="0.35">
      <c r="C265" t="s">
        <v>274</v>
      </c>
      <c r="I265" s="6">
        <v>7.86</v>
      </c>
    </row>
    <row r="266" spans="3:9" ht="15.5" x14ac:dyDescent="0.35">
      <c r="C266" t="s">
        <v>38</v>
      </c>
      <c r="I266" s="5">
        <v>11885000000000</v>
      </c>
    </row>
    <row r="267" spans="3:9" ht="15.5" x14ac:dyDescent="0.35">
      <c r="C267" t="s">
        <v>275</v>
      </c>
      <c r="I267" s="5">
        <v>7797000000000</v>
      </c>
    </row>
    <row r="268" spans="3:9" ht="15.5" x14ac:dyDescent="0.35">
      <c r="C268" t="s">
        <v>276</v>
      </c>
      <c r="I268" s="5">
        <v>1920000000</v>
      </c>
    </row>
    <row r="269" spans="3:9" ht="15.5" x14ac:dyDescent="0.35">
      <c r="C269" t="s">
        <v>277</v>
      </c>
      <c r="I269" s="6">
        <v>0.20280000000000001</v>
      </c>
    </row>
    <row r="270" spans="3:9" ht="15.5" x14ac:dyDescent="0.35">
      <c r="C270" t="s">
        <v>278</v>
      </c>
      <c r="D270" s="6">
        <v>0.155</v>
      </c>
    </row>
    <row r="271" spans="3:9" ht="15.5" x14ac:dyDescent="0.35">
      <c r="C271" t="s">
        <v>279</v>
      </c>
      <c r="D271" s="6">
        <v>9.6600000000000005E-2</v>
      </c>
    </row>
    <row r="272" spans="3:9" ht="15.5" x14ac:dyDescent="0.35">
      <c r="C272" t="s">
        <v>280</v>
      </c>
      <c r="D272" s="6">
        <v>4.9800000000000004E-2</v>
      </c>
    </row>
    <row r="273" spans="3:9" ht="15.5" x14ac:dyDescent="0.35">
      <c r="C273" t="s">
        <v>281</v>
      </c>
      <c r="D273" s="6">
        <v>6.8000000000000005E-2</v>
      </c>
    </row>
    <row r="274" spans="3:9" ht="15.5" x14ac:dyDescent="0.35">
      <c r="C274" t="s">
        <v>282</v>
      </c>
      <c r="D274" s="6">
        <v>0.24030000000000001</v>
      </c>
    </row>
    <row r="275" spans="3:9" ht="15.5" x14ac:dyDescent="0.35">
      <c r="C275" t="s">
        <v>283</v>
      </c>
      <c r="D275" s="6">
        <v>0.34789999999999999</v>
      </c>
    </row>
    <row r="276" spans="3:9" ht="15.5" x14ac:dyDescent="0.35">
      <c r="C276" t="s">
        <v>284</v>
      </c>
      <c r="I276" s="5">
        <v>335</v>
      </c>
    </row>
    <row r="277" spans="3:9" ht="15.5" x14ac:dyDescent="0.35">
      <c r="C277" t="s">
        <v>285</v>
      </c>
      <c r="I277" s="5">
        <v>458</v>
      </c>
    </row>
    <row r="278" spans="3:9" ht="15.5" x14ac:dyDescent="0.35">
      <c r="C278" t="s">
        <v>286</v>
      </c>
      <c r="I278" s="6">
        <v>0.59020000000000006</v>
      </c>
    </row>
    <row r="279" spans="3:9" ht="15.5" x14ac:dyDescent="0.35">
      <c r="C279" t="s">
        <v>287</v>
      </c>
      <c r="I279" s="6">
        <v>7.4200000000000002E-2</v>
      </c>
    </row>
    <row r="280" spans="3:9" ht="15.5" x14ac:dyDescent="0.35">
      <c r="C280" t="s">
        <v>288</v>
      </c>
      <c r="I280" t="s">
        <v>365</v>
      </c>
    </row>
    <row r="281" spans="3:9" ht="15.5" x14ac:dyDescent="0.35">
      <c r="C281" t="s">
        <v>290</v>
      </c>
      <c r="I281" s="5">
        <v>9</v>
      </c>
    </row>
    <row r="282" spans="3:9" ht="15.5" x14ac:dyDescent="0.35">
      <c r="C282" t="s">
        <v>291</v>
      </c>
      <c r="I282" s="6">
        <v>0.42</v>
      </c>
    </row>
    <row r="283" spans="3:9" ht="15.5" x14ac:dyDescent="0.35">
      <c r="C283" t="s">
        <v>292</v>
      </c>
      <c r="I283" s="6">
        <v>0.86</v>
      </c>
    </row>
    <row r="284" spans="3:9" ht="15.5" x14ac:dyDescent="0.35">
      <c r="C284" t="s">
        <v>293</v>
      </c>
      <c r="I284" s="6">
        <v>0.76</v>
      </c>
    </row>
    <row r="285" spans="3:9" ht="15.5" x14ac:dyDescent="0.35">
      <c r="C285" t="s">
        <v>366</v>
      </c>
      <c r="I285" s="6">
        <v>0.76</v>
      </c>
    </row>
    <row r="286" spans="3:9" ht="15.5" x14ac:dyDescent="0.35">
      <c r="C286" t="s">
        <v>294</v>
      </c>
      <c r="I286" s="6">
        <v>0.8</v>
      </c>
    </row>
    <row r="287" spans="3:9" ht="15.5" x14ac:dyDescent="0.35">
      <c r="C287" t="s">
        <v>295</v>
      </c>
      <c r="I287" s="6">
        <v>0.81</v>
      </c>
    </row>
    <row r="288" spans="3:9" ht="15.5" x14ac:dyDescent="0.35">
      <c r="C288" t="s">
        <v>296</v>
      </c>
      <c r="I288" s="6">
        <v>0.72</v>
      </c>
    </row>
    <row r="289" spans="3:9" ht="15.5" x14ac:dyDescent="0.35">
      <c r="C289" t="s">
        <v>297</v>
      </c>
      <c r="I289" s="5">
        <v>29132000000000</v>
      </c>
    </row>
    <row r="290" spans="3:9" ht="15.5" x14ac:dyDescent="0.35">
      <c r="C290" t="s">
        <v>298</v>
      </c>
      <c r="I290" s="5">
        <v>4857000000000</v>
      </c>
    </row>
    <row r="291" spans="3:9" ht="15.5" x14ac:dyDescent="0.35">
      <c r="C291" t="s">
        <v>299</v>
      </c>
      <c r="I291" s="5">
        <v>4146000000000</v>
      </c>
    </row>
    <row r="292" spans="3:9" ht="15.5" x14ac:dyDescent="0.35">
      <c r="C292" t="s">
        <v>300</v>
      </c>
      <c r="I292" s="5">
        <v>1568000000000</v>
      </c>
    </row>
    <row r="293" spans="3:9" ht="15.5" x14ac:dyDescent="0.35">
      <c r="C293" t="s">
        <v>301</v>
      </c>
      <c r="D293" s="5">
        <v>4704000000000</v>
      </c>
    </row>
    <row r="294" spans="3:9" ht="15.5" x14ac:dyDescent="0.35">
      <c r="C294" t="s">
        <v>302</v>
      </c>
      <c r="D294" s="5">
        <v>27893000000000</v>
      </c>
    </row>
    <row r="295" spans="3:9" ht="15.5" x14ac:dyDescent="0.35">
      <c r="C295" t="s">
        <v>303</v>
      </c>
      <c r="D295" s="5">
        <v>3360000000000</v>
      </c>
    </row>
    <row r="296" spans="3:9" ht="15.5" x14ac:dyDescent="0.35">
      <c r="C296" t="s">
        <v>208</v>
      </c>
      <c r="D296" s="5">
        <v>7328000000000</v>
      </c>
    </row>
    <row r="297" spans="3:9" ht="15.5" x14ac:dyDescent="0.35">
      <c r="C297" t="s">
        <v>207</v>
      </c>
      <c r="I297" s="5">
        <v>23917000000000</v>
      </c>
    </row>
    <row r="298" spans="3:9" ht="15.5" x14ac:dyDescent="0.35">
      <c r="C298" t="s">
        <v>19</v>
      </c>
      <c r="D298" s="5">
        <v>-4704000000000</v>
      </c>
    </row>
    <row r="299" spans="3:9" ht="15.5" x14ac:dyDescent="0.35">
      <c r="C299" t="s">
        <v>304</v>
      </c>
      <c r="I299" s="5">
        <v>24534000000000</v>
      </c>
    </row>
    <row r="300" spans="3:9" ht="15.5" x14ac:dyDescent="0.35">
      <c r="C300" t="s">
        <v>305</v>
      </c>
      <c r="I300" s="5">
        <v>3979000000000</v>
      </c>
    </row>
    <row r="301" spans="3:9" ht="15.5" x14ac:dyDescent="0.35">
      <c r="C301" t="s">
        <v>306</v>
      </c>
      <c r="I301" s="5">
        <v>-811000000000</v>
      </c>
    </row>
    <row r="302" spans="3:9" ht="15.5" x14ac:dyDescent="0.35">
      <c r="C302" t="s">
        <v>307</v>
      </c>
      <c r="I302" s="5">
        <v>-3914000000000</v>
      </c>
    </row>
    <row r="303" spans="3:9" ht="15.5" x14ac:dyDescent="0.35">
      <c r="C303" t="s">
        <v>308</v>
      </c>
      <c r="I303" s="5">
        <v>-811000000000</v>
      </c>
    </row>
    <row r="304" spans="3:9" ht="15.5" x14ac:dyDescent="0.35">
      <c r="C304" t="s">
        <v>309</v>
      </c>
      <c r="I304" s="5">
        <v>3168000000000</v>
      </c>
    </row>
  </sheetData>
  <pageMargins left="0.7" right="0.7" top="0.75" bottom="0.75" header="0.3" footer="0.3"/>
  <ignoredErrors>
    <ignoredError sqref="A1:Z1 A3:Z305 A2:B2 D2:Z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355"/>
  <sheetViews>
    <sheetView tabSelected="1" workbookViewId="0">
      <selection activeCell="C2" sqref="C2"/>
    </sheetView>
  </sheetViews>
  <sheetFormatPr defaultRowHeight="14.5" x14ac:dyDescent="0.35"/>
  <cols>
    <col min="1" max="1" width="38.83203125" customWidth="1"/>
    <col min="2" max="2" width="28.83203125" customWidth="1"/>
    <col min="3" max="3" width="32.83203125" customWidth="1"/>
    <col min="4" max="26" width="18.83203125" customWidth="1"/>
  </cols>
  <sheetData>
    <row r="1" spans="1:26" ht="15.5" x14ac:dyDescent="0.35">
      <c r="C1" t="s">
        <v>367</v>
      </c>
      <c r="D1" t="s">
        <v>1</v>
      </c>
      <c r="H1" t="s">
        <v>2</v>
      </c>
      <c r="I1" s="1">
        <v>46021.000138888892</v>
      </c>
      <c r="J1" s="1">
        <v>45656.000138888892</v>
      </c>
      <c r="K1" s="1">
        <v>45289.000138888892</v>
      </c>
      <c r="L1" s="1">
        <v>44925.000138888892</v>
      </c>
      <c r="M1" s="1">
        <v>44560.000138888892</v>
      </c>
      <c r="N1" s="1">
        <v>44195.000138888892</v>
      </c>
      <c r="O1" s="1">
        <v>43829.000138888892</v>
      </c>
      <c r="P1" s="1">
        <v>43462.000138888892</v>
      </c>
      <c r="Q1" s="1">
        <v>43098.000138888892</v>
      </c>
      <c r="R1" s="1">
        <v>42734.000138888892</v>
      </c>
      <c r="S1" s="1">
        <v>42368.000138888892</v>
      </c>
      <c r="T1" s="1">
        <v>42003.000138888892</v>
      </c>
      <c r="U1" s="1">
        <v>41638.000138888892</v>
      </c>
      <c r="V1" s="1">
        <v>41271.000138888892</v>
      </c>
      <c r="W1" s="1">
        <v>40907.000138888892</v>
      </c>
      <c r="X1" s="1">
        <v>40542.000138888892</v>
      </c>
      <c r="Y1" s="1">
        <v>40176.000138888892</v>
      </c>
      <c r="Z1" s="1">
        <v>39812.000138888892</v>
      </c>
    </row>
    <row r="2" spans="1:26" ht="15.5" x14ac:dyDescent="0.35">
      <c r="C2" t="e" vm="25">
        <v>#VALUE!</v>
      </c>
      <c r="D2" s="2" vm="26">
        <f ca="1">IFERROR(_xlfn.STOCKHISTORY("XIDX:" &amp; $C$1, D3, , 0, 0, 1), "Libur")</f>
        <v>3740</v>
      </c>
      <c r="H2" s="2">
        <f ca="1">_FV(C2,"Price")</f>
        <v>2850</v>
      </c>
      <c r="I2" s="2" vm="27">
        <f t="shared" ref="I2:Z2" ca="1" si="0">IFERROR(_xlfn.STOCKHISTORY("XIDX:" &amp; $C$1, I1, , 0, 0, 1), "Libur")</f>
        <v>3150</v>
      </c>
      <c r="J2" s="2" vm="28">
        <f t="shared" ca="1" si="0"/>
        <v>1525</v>
      </c>
      <c r="K2" s="2" vm="29">
        <f t="shared" ca="1" si="0"/>
        <v>1705</v>
      </c>
      <c r="L2" s="2" vm="30">
        <f t="shared" ca="1" si="0"/>
        <v>1985</v>
      </c>
      <c r="M2" s="2" vm="31">
        <f t="shared" ca="1" si="0"/>
        <v>2250</v>
      </c>
      <c r="N2" s="2" vm="32">
        <f t="shared" ca="1" si="0"/>
        <v>1935</v>
      </c>
      <c r="O2" s="2" vm="33">
        <f t="shared" ca="1" si="0"/>
        <v>840</v>
      </c>
      <c r="P2" s="2" vm="34">
        <f t="shared" ca="1" si="0"/>
        <v>765</v>
      </c>
      <c r="Q2" s="2" vm="35">
        <f t="shared" ca="1" si="0"/>
        <v>625</v>
      </c>
      <c r="R2" s="2" vm="36">
        <f t="shared" ca="1" si="0"/>
        <v>895</v>
      </c>
      <c r="S2" s="2" vm="37">
        <f t="shared" ca="1" si="0"/>
        <v>314</v>
      </c>
      <c r="T2" s="2" vm="38">
        <f t="shared" ca="1" si="0"/>
        <v>894.57550000000003</v>
      </c>
      <c r="U2" s="2" vm="39">
        <f t="shared" ca="1" si="0"/>
        <v>915.57489999999996</v>
      </c>
      <c r="V2" s="2" vm="40">
        <f t="shared" ca="1" si="0"/>
        <v>1075.1705999999999</v>
      </c>
      <c r="W2" s="2" vm="41">
        <f t="shared" ca="1" si="0"/>
        <v>1360.7627</v>
      </c>
      <c r="X2" s="2" vm="42">
        <f t="shared" ca="1" si="0"/>
        <v>2057.9436999999998</v>
      </c>
      <c r="Y2" s="2" vm="43">
        <f t="shared" ca="1" si="0"/>
        <v>1889.9483</v>
      </c>
      <c r="Z2" s="2" vm="39">
        <f t="shared" ca="1" si="0"/>
        <v>915.57489999999996</v>
      </c>
    </row>
    <row r="3" spans="1:26" ht="15.5" x14ac:dyDescent="0.35">
      <c r="D3" s="1">
        <v>46142.000138888892</v>
      </c>
    </row>
    <row r="4" spans="1:26" ht="15.5" x14ac:dyDescent="0.35">
      <c r="B4" t="s">
        <v>3</v>
      </c>
      <c r="C4" t="s">
        <v>4</v>
      </c>
      <c r="D4" s="2">
        <f>IFERROR(INDEX(D51:D500,MATCH($C$4,$C$51:$C$500,0)),"")</f>
        <v>29323338000000</v>
      </c>
      <c r="H4" s="2">
        <f>IFERROR(SUM(D4:G4)*(4/MAX(1,COUNT(D4:G4))),"")</f>
        <v>117293352000000</v>
      </c>
      <c r="I4" s="2">
        <f t="shared" ref="I4:Z4" si="1">IFERROR(INDEX(I51:I500,MATCH($C$4,$C$51:$C$500,0)),"")</f>
        <v>84642439000000</v>
      </c>
      <c r="J4" s="2">
        <f t="shared" si="1"/>
        <v>69192440000000</v>
      </c>
      <c r="K4" s="2">
        <f t="shared" si="1"/>
        <v>41047693000000</v>
      </c>
      <c r="L4" s="2">
        <f t="shared" si="1"/>
        <v>45930356000000</v>
      </c>
      <c r="M4" s="2">
        <f t="shared" si="1"/>
        <v>38445595000000</v>
      </c>
      <c r="N4" s="2">
        <f t="shared" si="1"/>
        <v>27372461091000</v>
      </c>
      <c r="O4" s="2">
        <f t="shared" si="1"/>
        <v>32718542699000</v>
      </c>
      <c r="P4" s="2">
        <f t="shared" si="1"/>
        <v>25241268367000</v>
      </c>
      <c r="Q4" s="2">
        <f t="shared" si="1"/>
        <v>12653619205000</v>
      </c>
      <c r="R4" s="2">
        <f t="shared" si="1"/>
        <v>9106260754000</v>
      </c>
      <c r="S4" s="2">
        <f t="shared" si="1"/>
        <v>10531504802000</v>
      </c>
      <c r="T4" s="2">
        <f t="shared" si="1"/>
        <v>9420630933000</v>
      </c>
      <c r="U4" s="2">
        <f t="shared" si="1"/>
        <v>11298321506000</v>
      </c>
      <c r="V4" s="2">
        <f t="shared" si="1"/>
        <v>10449885512000</v>
      </c>
      <c r="W4" s="2">
        <f t="shared" si="1"/>
        <v>10346433404000</v>
      </c>
      <c r="X4" s="2">
        <f t="shared" si="1"/>
        <v>8744300219000</v>
      </c>
      <c r="Y4" s="2">
        <f t="shared" si="1"/>
        <v>8711370255000</v>
      </c>
      <c r="Z4" s="2">
        <f t="shared" si="1"/>
        <v>9591981138000</v>
      </c>
    </row>
    <row r="5" spans="1:26" ht="15.5" x14ac:dyDescent="0.35">
      <c r="B5" t="s">
        <v>5</v>
      </c>
      <c r="C5" t="s">
        <v>6</v>
      </c>
      <c r="D5" s="2">
        <f>IFERROR(INDEX(D51:D500,MATCH($C$5,$C$51:$C$500,0)),"")</f>
        <v>3548796000000</v>
      </c>
      <c r="H5" s="2">
        <f>IFERROR(SUM(D5:G5)*(4/MAX(1,COUNT(D5:G5))),"")</f>
        <v>14195184000000</v>
      </c>
      <c r="I5" s="2">
        <f t="shared" ref="I5:Z5" si="2">IFERROR(INDEX(I51:I500,MATCH($C$5,$C$51:$C$500,0)),"")</f>
        <v>7487305000000</v>
      </c>
      <c r="J5" s="2">
        <f t="shared" si="2"/>
        <v>3892564000000</v>
      </c>
      <c r="K5" s="2">
        <f t="shared" si="2"/>
        <v>3080399000000</v>
      </c>
      <c r="L5" s="2">
        <f t="shared" si="2"/>
        <v>3805834000000</v>
      </c>
      <c r="M5" s="2">
        <f t="shared" si="2"/>
        <v>2199925000000</v>
      </c>
      <c r="N5" s="2">
        <f t="shared" si="2"/>
        <v>973876861000</v>
      </c>
      <c r="O5" s="2">
        <f t="shared" si="2"/>
        <v>-8899239000</v>
      </c>
      <c r="P5" s="2">
        <f t="shared" si="2"/>
        <v>1296603017000</v>
      </c>
      <c r="Q5" s="2">
        <f t="shared" si="2"/>
        <v>81611457000</v>
      </c>
      <c r="R5" s="2">
        <f t="shared" si="2"/>
        <v>92080748000</v>
      </c>
      <c r="S5" s="2">
        <f t="shared" si="2"/>
        <v>912557152000</v>
      </c>
      <c r="T5" s="2">
        <f t="shared" si="2"/>
        <v>-775179588000</v>
      </c>
      <c r="U5" s="2">
        <f t="shared" si="2"/>
        <v>410135469000</v>
      </c>
      <c r="V5" s="2">
        <f t="shared" si="2"/>
        <v>2989023840000</v>
      </c>
      <c r="W5" s="2">
        <f t="shared" si="2"/>
        <v>1924736965000</v>
      </c>
      <c r="X5" s="2">
        <f t="shared" si="2"/>
        <v>0</v>
      </c>
      <c r="Y5" s="2">
        <f t="shared" si="2"/>
        <v>0</v>
      </c>
      <c r="Z5" s="2">
        <f t="shared" si="2"/>
        <v>0</v>
      </c>
    </row>
    <row r="6" spans="1:26" ht="15.5" x14ac:dyDescent="0.35">
      <c r="B6" t="s">
        <v>7</v>
      </c>
      <c r="C6" t="s">
        <v>8</v>
      </c>
      <c r="D6" s="2">
        <f>IFERROR(INDEX(D51:D500,MATCH($C$6,$C$51:$C$500,0)),"")</f>
        <v>40406011000000</v>
      </c>
      <c r="H6" s="2">
        <f>IFERROR(INDEX(D6:G6,COUNT(D6:G6)),"")</f>
        <v>40406011000000</v>
      </c>
      <c r="I6" s="2">
        <f t="shared" ref="I6:Z6" si="3">IFERROR(INDEX(I51:I500,MATCH($C$6,$C$51:$C$500,0)),"")</f>
        <v>36599886000000</v>
      </c>
      <c r="J6" s="2">
        <f t="shared" si="3"/>
        <v>32199506000000</v>
      </c>
      <c r="K6" s="2">
        <f t="shared" si="3"/>
        <v>31165670000000</v>
      </c>
      <c r="L6" s="2">
        <f t="shared" si="3"/>
        <v>23712060000000</v>
      </c>
      <c r="M6" s="2">
        <f t="shared" si="3"/>
        <v>20837098000000</v>
      </c>
      <c r="N6" s="2">
        <f t="shared" si="3"/>
        <v>19039449025000</v>
      </c>
      <c r="O6" s="2">
        <f t="shared" si="3"/>
        <v>18133419175000</v>
      </c>
      <c r="P6" s="2">
        <f t="shared" si="3"/>
        <v>19739230723000</v>
      </c>
      <c r="Q6" s="2">
        <f t="shared" si="3"/>
        <v>18490403517000</v>
      </c>
      <c r="R6" s="2">
        <f t="shared" si="3"/>
        <v>18408795573000</v>
      </c>
      <c r="S6" s="2">
        <f t="shared" si="3"/>
        <v>18316718962000</v>
      </c>
      <c r="T6" s="2">
        <f t="shared" si="3"/>
        <v>11929561267000</v>
      </c>
      <c r="U6" s="2">
        <f t="shared" si="3"/>
        <v>12793487532000</v>
      </c>
      <c r="V6" s="2">
        <f t="shared" si="3"/>
        <v>12832316056000</v>
      </c>
      <c r="W6" s="2">
        <f t="shared" si="3"/>
        <v>10772043550000</v>
      </c>
      <c r="X6" s="2">
        <f t="shared" si="3"/>
        <v>9600835298000</v>
      </c>
      <c r="Y6" s="2">
        <f t="shared" si="3"/>
        <v>8191869019000</v>
      </c>
      <c r="Z6" s="2">
        <f t="shared" si="3"/>
        <v>8114070486000</v>
      </c>
    </row>
    <row r="7" spans="1:26" ht="15.5" x14ac:dyDescent="0.35">
      <c r="B7" t="s">
        <v>9</v>
      </c>
      <c r="C7" t="s">
        <v>10</v>
      </c>
      <c r="D7" s="3">
        <f>IFERROR(INDEX(D51:D500,MATCH($C$7,$C$51:$C$500,0))/1000000000,"")</f>
        <v>24.03</v>
      </c>
      <c r="H7" s="3">
        <f>IFERROR(INDEX(D7:G7,COUNT(D7:G7)),"")</f>
        <v>24.03</v>
      </c>
      <c r="I7" s="3">
        <f t="shared" ref="I7:Z7" si="4">IFERROR(INDEX(I51:I500,MATCH($C$7,$C$51:$C$500,0))/1000000000,"")</f>
        <v>24.03</v>
      </c>
      <c r="J7" s="3">
        <f t="shared" si="4"/>
        <v>24.03</v>
      </c>
      <c r="K7" s="3">
        <f t="shared" si="4"/>
        <v>24.03</v>
      </c>
      <c r="L7" s="3">
        <f t="shared" si="4"/>
        <v>24.03</v>
      </c>
      <c r="M7" s="3">
        <f t="shared" si="4"/>
        <v>24.03</v>
      </c>
      <c r="N7" s="3">
        <f t="shared" si="4"/>
        <v>24.03</v>
      </c>
      <c r="O7" s="3">
        <f t="shared" si="4"/>
        <v>24.03</v>
      </c>
      <c r="P7" s="3">
        <f t="shared" si="4"/>
        <v>24.03</v>
      </c>
      <c r="Q7" s="3">
        <f t="shared" si="4"/>
        <v>24.03</v>
      </c>
      <c r="R7" s="3">
        <f t="shared" si="4"/>
        <v>24.03</v>
      </c>
      <c r="S7" s="3">
        <f t="shared" si="4"/>
        <v>24.03</v>
      </c>
      <c r="T7" s="3">
        <f t="shared" si="4"/>
        <v>9.5399999999999991</v>
      </c>
      <c r="U7" s="3">
        <f t="shared" si="4"/>
        <v>9.5399999999999991</v>
      </c>
      <c r="V7" s="3">
        <f t="shared" si="4"/>
        <v>9.5399999999999991</v>
      </c>
      <c r="W7" s="3">
        <f t="shared" si="4"/>
        <v>9.5399999999999991</v>
      </c>
      <c r="X7" s="3">
        <f t="shared" si="4"/>
        <v>9.5399999999999991</v>
      </c>
      <c r="Y7" s="3">
        <f t="shared" si="4"/>
        <v>9.5399999999999991</v>
      </c>
      <c r="Z7" s="3">
        <f t="shared" si="4"/>
        <v>9.5399999999999991</v>
      </c>
    </row>
    <row r="8" spans="1:26" ht="15.5" x14ac:dyDescent="0.35">
      <c r="A8" t="s">
        <v>11</v>
      </c>
      <c r="B8" t="s">
        <v>12</v>
      </c>
      <c r="C8" t="s">
        <v>13</v>
      </c>
      <c r="D8" s="2">
        <f>IFERROR(INDEX(D51:D500,MATCH("Free cash flow (Quarter)",$C$51:$C$500,0)),"")</f>
        <v>-3251000000000</v>
      </c>
      <c r="H8" s="2">
        <f>IFERROR(INDEX(D8:G8,COUNT(D8:G8)),"")</f>
        <v>-3251000000000</v>
      </c>
      <c r="I8" s="2">
        <f t="shared" ref="I8:Z8" si="5">IFERROR(INDEX(I51:I500,MATCH($C$8,$C$51:$C$500,0)),"")</f>
        <v>4187000000000</v>
      </c>
      <c r="J8" s="2">
        <f t="shared" si="5"/>
        <v>2502000000000</v>
      </c>
      <c r="K8" s="2">
        <f t="shared" si="5"/>
        <v>2924000000000</v>
      </c>
      <c r="L8" s="2">
        <f t="shared" si="5"/>
        <v>3408000000000</v>
      </c>
      <c r="M8" s="2">
        <f t="shared" si="5"/>
        <v>4531000000000</v>
      </c>
      <c r="N8" s="2">
        <f t="shared" si="5"/>
        <v>1646000000000</v>
      </c>
      <c r="O8" s="2">
        <f t="shared" si="5"/>
        <v>398000000000</v>
      </c>
      <c r="P8" s="2">
        <f t="shared" si="5"/>
        <v>-288000000000</v>
      </c>
      <c r="Q8" s="2">
        <f t="shared" si="5"/>
        <v>-985000000000</v>
      </c>
      <c r="R8" s="2">
        <f t="shared" si="5"/>
        <v>-215000000000</v>
      </c>
      <c r="S8" s="2">
        <f t="shared" si="5"/>
        <v>-1332000000000</v>
      </c>
      <c r="T8" s="2">
        <f t="shared" si="5"/>
        <v>-1684000000000</v>
      </c>
      <c r="U8" s="2">
        <f t="shared" si="5"/>
        <v>-2523000000000</v>
      </c>
      <c r="V8" s="2">
        <f t="shared" si="5"/>
        <v>-1670000000000</v>
      </c>
      <c r="W8" s="2">
        <f t="shared" si="5"/>
        <v>669000000000</v>
      </c>
      <c r="X8" s="2">
        <f t="shared" si="5"/>
        <v>1323000000000</v>
      </c>
      <c r="Y8" s="2">
        <f t="shared" si="5"/>
        <v>420000000000</v>
      </c>
      <c r="Z8" s="2">
        <f t="shared" si="5"/>
        <v>637000000000</v>
      </c>
    </row>
    <row r="9" spans="1:26" ht="15.5" x14ac:dyDescent="0.35">
      <c r="A9" t="s">
        <v>14</v>
      </c>
      <c r="C9" t="s">
        <v>15</v>
      </c>
      <c r="D9" s="3">
        <f>IFERROR(INDEX(D51:D500,MATCH("Free cash flow per share (Quarter)",$C$51:$C$500,0)),"")</f>
        <v>-135.27000000000001</v>
      </c>
      <c r="H9" s="3">
        <f>IFERROR(INDEX(D9:G9,COUNT(D9:G9)),"")</f>
        <v>-135.27000000000001</v>
      </c>
      <c r="I9" s="3">
        <f t="shared" ref="I9:Z9" si="6">IFERROR(INDEX(I51:I500,MATCH($C$9,$C$51:$C$500,0)),"")</f>
        <v>174.22</v>
      </c>
      <c r="J9" s="3">
        <f t="shared" si="6"/>
        <v>104.12</v>
      </c>
      <c r="K9" s="3">
        <f t="shared" si="6"/>
        <v>121.67</v>
      </c>
      <c r="L9" s="3">
        <f t="shared" si="6"/>
        <v>141.81</v>
      </c>
      <c r="M9" s="3">
        <f t="shared" si="6"/>
        <v>188.56</v>
      </c>
      <c r="N9" s="3">
        <f t="shared" si="6"/>
        <v>68.510000000000005</v>
      </c>
      <c r="O9" s="3">
        <f t="shared" si="6"/>
        <v>16.54</v>
      </c>
      <c r="P9" s="3">
        <f t="shared" si="6"/>
        <v>-12</v>
      </c>
      <c r="Q9" s="3">
        <f t="shared" si="6"/>
        <v>-41</v>
      </c>
      <c r="R9" s="3">
        <f t="shared" si="6"/>
        <v>-8.9499999999999993</v>
      </c>
      <c r="S9" s="3">
        <f t="shared" si="6"/>
        <v>-55.43</v>
      </c>
      <c r="T9" s="3">
        <f t="shared" si="6"/>
        <v>-176.59</v>
      </c>
      <c r="U9" s="3">
        <f t="shared" si="6"/>
        <v>-264.49</v>
      </c>
      <c r="V9" s="3">
        <f t="shared" si="6"/>
        <v>-175.11</v>
      </c>
      <c r="W9" s="3">
        <f t="shared" si="6"/>
        <v>70.12</v>
      </c>
      <c r="X9" s="3">
        <f t="shared" si="6"/>
        <v>138.72999999999999</v>
      </c>
      <c r="Y9" s="3">
        <f t="shared" si="6"/>
        <v>44.01</v>
      </c>
      <c r="Z9" s="3">
        <f t="shared" si="6"/>
        <v>66.83</v>
      </c>
    </row>
    <row r="10" spans="1:26" ht="15.5" x14ac:dyDescent="0.35">
      <c r="C10" t="s">
        <v>16</v>
      </c>
      <c r="D10" s="3">
        <f ca="1">IFERROR(IF(D9=0,"",D2/D9),"")</f>
        <v>-27.648406889923855</v>
      </c>
      <c r="I10" s="3">
        <f t="shared" ref="I10:Z10" ca="1" si="7">IFERROR(IF(I9=0,"",I2/I9),"")</f>
        <v>18.080587762599013</v>
      </c>
      <c r="J10" s="3">
        <f t="shared" ca="1" si="7"/>
        <v>14.646561659623512</v>
      </c>
      <c r="K10" s="3">
        <f t="shared" ca="1" si="7"/>
        <v>14.013314703706747</v>
      </c>
      <c r="L10" s="3">
        <f t="shared" ca="1" si="7"/>
        <v>13.997602425780974</v>
      </c>
      <c r="M10" s="3">
        <f t="shared" ca="1" si="7"/>
        <v>11.932541366143402</v>
      </c>
      <c r="N10" s="3">
        <f t="shared" ca="1" si="7"/>
        <v>28.244051963217046</v>
      </c>
      <c r="O10" s="3">
        <f t="shared" ca="1" si="7"/>
        <v>50.785973397823462</v>
      </c>
      <c r="P10" s="3">
        <f t="shared" ca="1" si="7"/>
        <v>-63.75</v>
      </c>
      <c r="Q10" s="3">
        <f t="shared" ca="1" si="7"/>
        <v>-15.24390243902439</v>
      </c>
      <c r="R10" s="3">
        <f t="shared" ca="1" si="7"/>
        <v>-100.00000000000001</v>
      </c>
      <c r="S10" s="3">
        <f t="shared" ca="1" si="7"/>
        <v>-5.6648024535450121</v>
      </c>
      <c r="T10" s="3">
        <f t="shared" ca="1" si="7"/>
        <v>-5.0658332861430431</v>
      </c>
      <c r="U10" s="3">
        <f t="shared" ca="1" si="7"/>
        <v>-3.4616616885326477</v>
      </c>
      <c r="V10" s="3">
        <f t="shared" ca="1" si="7"/>
        <v>-6.1399725886585568</v>
      </c>
      <c r="W10" s="3">
        <f t="shared" ca="1" si="7"/>
        <v>19.406199372504275</v>
      </c>
      <c r="X10" s="3">
        <f t="shared" ca="1" si="7"/>
        <v>14.834164924673827</v>
      </c>
      <c r="Y10" s="3">
        <f t="shared" ca="1" si="7"/>
        <v>42.943610543058398</v>
      </c>
      <c r="Z10" s="3">
        <f t="shared" ca="1" si="7"/>
        <v>13.700058357025288</v>
      </c>
    </row>
    <row r="11" spans="1:26" ht="15.5" x14ac:dyDescent="0.35">
      <c r="B11" t="s">
        <v>17</v>
      </c>
      <c r="C11" t="s">
        <v>18</v>
      </c>
      <c r="D11" s="2">
        <f>IFERROR(INDEX(D51:D500,MATCH($C$11,$C$51:$C$500,0)),"")</f>
        <v>9038508000000</v>
      </c>
      <c r="H11" s="2">
        <f>IFERROR(INDEX(D11:G11,COUNT(D11:G11)),"")</f>
        <v>9038508000000</v>
      </c>
      <c r="I11" s="2">
        <f t="shared" ref="I11:Z11" si="8">IFERROR(INDEX(I51:I500,MATCH($C$11,$C$51:$C$500,0)),"")</f>
        <v>8433610000000</v>
      </c>
      <c r="J11" s="2">
        <f t="shared" si="8"/>
        <v>4751621000000</v>
      </c>
      <c r="K11" s="2">
        <f t="shared" si="8"/>
        <v>9208814000000</v>
      </c>
      <c r="L11" s="2">
        <f t="shared" si="8"/>
        <v>4476491000000</v>
      </c>
      <c r="M11" s="2">
        <f t="shared" si="8"/>
        <v>5089160000000</v>
      </c>
      <c r="N11" s="2">
        <f t="shared" si="8"/>
        <v>3984387647000</v>
      </c>
      <c r="O11" s="2">
        <f t="shared" si="8"/>
        <v>3636243080000</v>
      </c>
      <c r="P11" s="2">
        <f t="shared" si="8"/>
        <v>4299068085000</v>
      </c>
      <c r="Q11" s="2">
        <f t="shared" si="8"/>
        <v>5550677020000</v>
      </c>
      <c r="R11" s="2">
        <f t="shared" si="8"/>
        <v>7623385438000</v>
      </c>
      <c r="S11" s="2">
        <f t="shared" si="8"/>
        <v>8086634372000</v>
      </c>
      <c r="T11" s="2">
        <f t="shared" si="8"/>
        <v>2618910283000</v>
      </c>
      <c r="U11" s="2">
        <f t="shared" si="8"/>
        <v>2792737848000</v>
      </c>
      <c r="V11" s="2">
        <f t="shared" si="8"/>
        <v>3868574769000</v>
      </c>
      <c r="W11" s="2">
        <f t="shared" si="8"/>
        <v>5639678574000</v>
      </c>
      <c r="X11" s="2">
        <f t="shared" si="8"/>
        <v>4308242737000</v>
      </c>
      <c r="Y11" s="2">
        <f t="shared" si="8"/>
        <v>2773582727000</v>
      </c>
      <c r="Z11" s="2">
        <f t="shared" si="8"/>
        <v>3284218532000</v>
      </c>
    </row>
    <row r="12" spans="1:26" ht="15.5" x14ac:dyDescent="0.35">
      <c r="A12" t="s">
        <v>19</v>
      </c>
      <c r="B12" t="s">
        <v>20</v>
      </c>
      <c r="C12" t="s">
        <v>21</v>
      </c>
      <c r="D12" s="2">
        <f>IFERROR(INDEX(D51:D500,MATCH("Net Debt (Quarter)",$C$51:$C$500,0)),"")</f>
        <v>-3450000000000</v>
      </c>
      <c r="H12" s="2">
        <f>IFERROR(INDEX(D12:G12,COUNT(D12:G12)),"")</f>
        <v>-3450000000000</v>
      </c>
      <c r="I12" s="2">
        <f t="shared" ref="I12:Z12" si="9">IFERROR(INDEX(I51:I500,MATCH($C$12,$C$51:$C$500,0)),"")</f>
        <v>-6982000000000</v>
      </c>
      <c r="J12" s="2">
        <f t="shared" si="9"/>
        <v>-4654000000000</v>
      </c>
      <c r="K12" s="2">
        <f t="shared" si="9"/>
        <v>-6561000000000</v>
      </c>
      <c r="L12" s="2">
        <f t="shared" si="9"/>
        <v>-1322000000000</v>
      </c>
      <c r="M12" s="2">
        <f t="shared" si="9"/>
        <v>926000000000</v>
      </c>
      <c r="N12" s="2">
        <f t="shared" si="9"/>
        <v>3779000000000</v>
      </c>
      <c r="O12" s="2">
        <f t="shared" si="9"/>
        <v>4931000000000</v>
      </c>
      <c r="P12" s="2">
        <f t="shared" si="9"/>
        <v>5625000000000</v>
      </c>
      <c r="Q12" s="2">
        <f t="shared" si="9"/>
        <v>3848000000000</v>
      </c>
      <c r="R12" s="2">
        <f t="shared" si="9"/>
        <v>2281000000000</v>
      </c>
      <c r="S12" s="2">
        <f t="shared" si="9"/>
        <v>2024000000000</v>
      </c>
      <c r="T12" s="2">
        <f t="shared" si="9"/>
        <v>5396000000000</v>
      </c>
      <c r="U12" s="2">
        <f t="shared" si="9"/>
        <v>3993000000000</v>
      </c>
      <c r="V12" s="2">
        <f t="shared" si="9"/>
        <v>788000000000</v>
      </c>
      <c r="W12" s="2">
        <f t="shared" si="9"/>
        <v>-2639000000000</v>
      </c>
      <c r="X12" s="2">
        <f t="shared" si="9"/>
        <v>-3516000000000</v>
      </c>
      <c r="Y12" s="2">
        <f t="shared" si="9"/>
        <v>-2260000000000</v>
      </c>
      <c r="Z12" s="2">
        <f t="shared" si="9"/>
        <v>-2433000000000</v>
      </c>
    </row>
    <row r="13" spans="1:26" ht="15.5" x14ac:dyDescent="0.35">
      <c r="A13" t="s">
        <v>22</v>
      </c>
      <c r="B13" t="s">
        <v>23</v>
      </c>
      <c r="C13" t="s">
        <v>24</v>
      </c>
      <c r="D13" s="2">
        <f>IFERROR(INDEX(D51:D500,MATCH("Total Debt (Quarter)",$C$51:$C$500,0)),"")</f>
        <v>5589000000000</v>
      </c>
      <c r="H13" s="2">
        <f>IFERROR(INDEX(D13:G13,COUNT(D13:G13)),"")</f>
        <v>5589000000000</v>
      </c>
      <c r="I13" s="2">
        <f t="shared" ref="I13:Z13" si="10">IFERROR(INDEX(I51:I500,MATCH($C$13,$C$51:$C$500,0)),"")</f>
        <v>1452000000000</v>
      </c>
      <c r="J13" s="2">
        <f t="shared" si="10"/>
        <v>98000000000</v>
      </c>
      <c r="K13" s="2">
        <f t="shared" si="10"/>
        <v>2648000000000</v>
      </c>
      <c r="L13" s="2">
        <f t="shared" si="10"/>
        <v>3155000000000</v>
      </c>
      <c r="M13" s="2">
        <f t="shared" si="10"/>
        <v>6015000000000</v>
      </c>
      <c r="N13" s="2">
        <f t="shared" si="10"/>
        <v>7763000000000</v>
      </c>
      <c r="O13" s="2">
        <f t="shared" si="10"/>
        <v>8568000000000</v>
      </c>
      <c r="P13" s="2">
        <f t="shared" si="10"/>
        <v>9924000000000</v>
      </c>
      <c r="Q13" s="2">
        <f t="shared" si="10"/>
        <v>9399000000000</v>
      </c>
      <c r="R13" s="2">
        <f t="shared" si="10"/>
        <v>9905000000000</v>
      </c>
      <c r="S13" s="2">
        <f t="shared" si="10"/>
        <v>10110000000000</v>
      </c>
      <c r="T13" s="2">
        <f t="shared" si="10"/>
        <v>8015000000000</v>
      </c>
      <c r="U13" s="2">
        <f t="shared" si="10"/>
        <v>6785000000000</v>
      </c>
      <c r="V13" s="2">
        <f t="shared" si="10"/>
        <v>4657000000000</v>
      </c>
      <c r="W13" s="2">
        <f t="shared" si="10"/>
        <v>3000000000000</v>
      </c>
      <c r="X13" s="2">
        <f t="shared" si="10"/>
        <v>793000000000</v>
      </c>
      <c r="Y13" s="2">
        <f t="shared" si="10"/>
        <v>513000000000</v>
      </c>
      <c r="Z13" s="2">
        <f t="shared" si="10"/>
        <v>851000000000</v>
      </c>
    </row>
    <row r="14" spans="1:26" ht="15.5" x14ac:dyDescent="0.35">
      <c r="C14" t="s">
        <v>25</v>
      </c>
      <c r="D14" s="2">
        <f>IFERROR(INDEX(D51:D500,MATCH($C$14,$C$51:$C$500,0)),"")</f>
        <v>-107769000000</v>
      </c>
      <c r="H14" s="2">
        <f>IFERROR(SUM(D14:G14)*(4/MAX(1,COUNT(D14:G14))),"")</f>
        <v>-431076000000</v>
      </c>
      <c r="I14" s="2">
        <f t="shared" ref="I14:Z14" si="11">IFERROR(INDEX(I51:I500,MATCH($C$14,$C$51:$C$500,0)),"")</f>
        <v>-167100000000</v>
      </c>
      <c r="J14" s="2">
        <f t="shared" si="11"/>
        <v>-237136000000</v>
      </c>
      <c r="K14" s="2">
        <f t="shared" si="11"/>
        <v>-215144000000</v>
      </c>
      <c r="L14" s="2">
        <f t="shared" si="11"/>
        <v>-381088000000</v>
      </c>
      <c r="M14" s="2">
        <f t="shared" si="11"/>
        <v>-359094000000</v>
      </c>
      <c r="N14" s="2">
        <f t="shared" si="11"/>
        <v>-565451837000</v>
      </c>
      <c r="O14" s="2">
        <f t="shared" si="11"/>
        <v>-233360576000</v>
      </c>
      <c r="P14" s="2">
        <f t="shared" si="11"/>
        <v>-554331857000</v>
      </c>
      <c r="Q14" s="2">
        <f t="shared" si="11"/>
        <v>-607685684000</v>
      </c>
      <c r="R14" s="2">
        <f t="shared" si="11"/>
        <v>-319273938000</v>
      </c>
      <c r="S14" s="2">
        <f t="shared" si="11"/>
        <v>-246021355000</v>
      </c>
      <c r="T14" s="2">
        <f t="shared" si="11"/>
        <v>-126552132000</v>
      </c>
      <c r="U14" s="2">
        <f t="shared" si="11"/>
        <v>-60660045000</v>
      </c>
      <c r="V14" s="2">
        <f t="shared" si="11"/>
        <v>-234500820000</v>
      </c>
      <c r="W14" s="2">
        <f t="shared" si="11"/>
        <v>-22723138000</v>
      </c>
      <c r="X14" s="2">
        <f t="shared" si="11"/>
        <v>-12651557000</v>
      </c>
      <c r="Y14" s="2">
        <f t="shared" si="11"/>
        <v>-47049683000</v>
      </c>
      <c r="Z14" s="2">
        <f t="shared" si="11"/>
        <v>-50346415000</v>
      </c>
    </row>
    <row r="15" spans="1:26" ht="15.5" x14ac:dyDescent="0.35">
      <c r="C15" t="s">
        <v>26</v>
      </c>
      <c r="D15" s="2">
        <f>IFERROR(INDEX(D51:D500,MATCH($C$15,$C$51:$C$500,0)),"")</f>
        <v>-1118452000000</v>
      </c>
      <c r="H15" s="2">
        <f>IFERROR(SUM(D15:G15)*(4/MAX(1,COUNT(D15:G15))),"")</f>
        <v>-4473808000000</v>
      </c>
      <c r="I15" s="2">
        <f t="shared" ref="I15:Z15" si="12">IFERROR(INDEX(I51:I500,MATCH($C$15,$C$51:$C$500,0)),"")</f>
        <v>-1826712000000</v>
      </c>
      <c r="J15" s="2">
        <f t="shared" si="12"/>
        <v>-761425000000</v>
      </c>
      <c r="K15" s="2">
        <f t="shared" si="12"/>
        <v>-776833000000</v>
      </c>
      <c r="L15" s="2">
        <f t="shared" si="12"/>
        <v>-1393807000000</v>
      </c>
      <c r="M15" s="2">
        <f t="shared" si="12"/>
        <v>-1181769000000</v>
      </c>
      <c r="N15" s="2">
        <f t="shared" si="12"/>
        <v>-491824319000</v>
      </c>
      <c r="O15" s="2">
        <f t="shared" si="12"/>
        <v>-493182022000</v>
      </c>
      <c r="P15" s="2">
        <f t="shared" si="12"/>
        <v>-391075213000</v>
      </c>
      <c r="Q15" s="2">
        <f t="shared" si="12"/>
        <v>-317893255000</v>
      </c>
      <c r="R15" s="2">
        <f t="shared" si="12"/>
        <v>-172485407000</v>
      </c>
      <c r="S15" s="2">
        <f t="shared" si="12"/>
        <v>227921028000</v>
      </c>
      <c r="T15" s="2">
        <f t="shared" si="12"/>
        <v>57848528000</v>
      </c>
      <c r="U15" s="2">
        <f t="shared" si="12"/>
        <v>542877769000</v>
      </c>
      <c r="V15" s="2">
        <f t="shared" si="12"/>
        <v>-902379330000</v>
      </c>
      <c r="W15" s="2">
        <f t="shared" si="12"/>
        <v>-640889387000</v>
      </c>
      <c r="X15" s="2">
        <f t="shared" si="12"/>
        <v>-597699273000</v>
      </c>
      <c r="Y15" s="2">
        <f t="shared" si="12"/>
        <v>-188786842000</v>
      </c>
      <c r="Z15" s="2">
        <f t="shared" si="12"/>
        <v>-546711187000</v>
      </c>
    </row>
    <row r="16" spans="1:26" ht="15.5" x14ac:dyDescent="0.35">
      <c r="C16" t="s">
        <v>27</v>
      </c>
      <c r="D16" s="2">
        <f>IFERROR(INDEX(D51:D500,MATCH($C$16,$C$51:$C$500,0)),"")</f>
        <v>4782563000000</v>
      </c>
      <c r="H16" s="2">
        <f>IFERROR(SUM(D16:G16)*(4/MAX(1,COUNT(D16:G16))),"")</f>
        <v>19130252000000</v>
      </c>
      <c r="I16" s="2">
        <f t="shared" ref="I16:Z16" si="13">IFERROR(INDEX(I51:I500,MATCH($C$16,$C$51:$C$500,0)),"")</f>
        <v>9747127000000</v>
      </c>
      <c r="J16" s="2">
        <f t="shared" si="13"/>
        <v>4613643000000</v>
      </c>
      <c r="K16" s="2">
        <f t="shared" si="13"/>
        <v>3854481000000</v>
      </c>
      <c r="L16" s="2">
        <f t="shared" si="13"/>
        <v>5214771000000</v>
      </c>
      <c r="M16" s="2">
        <f t="shared" si="13"/>
        <v>3043509000000</v>
      </c>
      <c r="N16" s="2">
        <f t="shared" si="13"/>
        <v>1641178012000</v>
      </c>
      <c r="O16" s="2">
        <f t="shared" si="13"/>
        <v>687034053000</v>
      </c>
      <c r="P16" s="2">
        <f t="shared" si="13"/>
        <v>1265501806000</v>
      </c>
      <c r="Q16" s="2">
        <f t="shared" si="13"/>
        <v>454396524000</v>
      </c>
      <c r="R16" s="2">
        <f t="shared" si="13"/>
        <v>237291595000</v>
      </c>
      <c r="S16" s="2">
        <f t="shared" si="13"/>
        <v>-1668773924000</v>
      </c>
      <c r="T16" s="2">
        <f t="shared" si="13"/>
        <v>-833134817000</v>
      </c>
      <c r="U16" s="2">
        <f t="shared" si="13"/>
        <v>-132930400000</v>
      </c>
      <c r="V16" s="2">
        <f t="shared" si="13"/>
        <v>3895495061000</v>
      </c>
      <c r="W16" s="2">
        <f t="shared" si="13"/>
        <v>2568781385000</v>
      </c>
      <c r="X16" s="2">
        <f t="shared" si="13"/>
        <v>2272623684000</v>
      </c>
      <c r="Y16" s="2">
        <f t="shared" si="13"/>
        <v>784017742000</v>
      </c>
      <c r="Z16" s="2">
        <f t="shared" si="13"/>
        <v>1915753038000</v>
      </c>
    </row>
    <row r="17" spans="1:26" ht="15.5" x14ac:dyDescent="0.35">
      <c r="A17" t="s">
        <v>28</v>
      </c>
    </row>
    <row r="18" spans="1:26" ht="15.5" x14ac:dyDescent="0.35">
      <c r="A18" t="s">
        <v>29</v>
      </c>
      <c r="D18" t="s">
        <v>1</v>
      </c>
      <c r="H18" t="s">
        <v>2</v>
      </c>
      <c r="I18" t="s">
        <v>30</v>
      </c>
      <c r="J18" t="s">
        <v>31</v>
      </c>
      <c r="K18" t="s">
        <v>32</v>
      </c>
      <c r="L18" t="s">
        <v>33</v>
      </c>
      <c r="M18" t="s">
        <v>34</v>
      </c>
      <c r="N18" t="s">
        <v>311</v>
      </c>
      <c r="O18" t="s">
        <v>312</v>
      </c>
      <c r="P18" t="s">
        <v>313</v>
      </c>
      <c r="Q18" t="s">
        <v>314</v>
      </c>
      <c r="R18" t="s">
        <v>315</v>
      </c>
      <c r="S18" t="s">
        <v>316</v>
      </c>
      <c r="T18" t="s">
        <v>317</v>
      </c>
      <c r="U18" t="s">
        <v>318</v>
      </c>
      <c r="V18" t="s">
        <v>319</v>
      </c>
      <c r="W18" t="s">
        <v>320</v>
      </c>
      <c r="X18" t="s">
        <v>321</v>
      </c>
      <c r="Y18" t="s">
        <v>322</v>
      </c>
      <c r="Z18" t="s">
        <v>323</v>
      </c>
    </row>
    <row r="19" spans="1:26" ht="15.5" x14ac:dyDescent="0.35">
      <c r="A19" t="s">
        <v>35</v>
      </c>
      <c r="C19" t="s">
        <v>36</v>
      </c>
    </row>
    <row r="20" spans="1:26" ht="15.5" x14ac:dyDescent="0.35">
      <c r="A20" t="s">
        <v>37</v>
      </c>
      <c r="C20" t="s">
        <v>38</v>
      </c>
      <c r="D20" s="2">
        <f ca="1">IFERROR(D21*D2,"")</f>
        <v>89872200000000</v>
      </c>
      <c r="H20" s="2">
        <f t="shared" ref="H20:Z20" ca="1" si="14">IFERROR(H21*H2,"")</f>
        <v>68485500000000</v>
      </c>
      <c r="I20" s="2">
        <f t="shared" ca="1" si="14"/>
        <v>75694500000000</v>
      </c>
      <c r="J20" s="2">
        <f t="shared" ca="1" si="14"/>
        <v>36645750000000</v>
      </c>
      <c r="K20" s="2">
        <f t="shared" ca="1" si="14"/>
        <v>40971150000000</v>
      </c>
      <c r="L20" s="2">
        <f t="shared" ca="1" si="14"/>
        <v>47699550000000</v>
      </c>
      <c r="M20" s="2">
        <f t="shared" ca="1" si="14"/>
        <v>54067500000000</v>
      </c>
      <c r="N20" s="2">
        <f t="shared" ca="1" si="14"/>
        <v>46498050000000</v>
      </c>
      <c r="O20" s="2">
        <f t="shared" ca="1" si="14"/>
        <v>20185200000000</v>
      </c>
      <c r="P20" s="2">
        <f t="shared" ca="1" si="14"/>
        <v>18382950000000</v>
      </c>
      <c r="Q20" s="2">
        <f t="shared" ca="1" si="14"/>
        <v>15018750000000</v>
      </c>
      <c r="R20" s="2">
        <f t="shared" ca="1" si="14"/>
        <v>21506850000000</v>
      </c>
      <c r="S20" s="2">
        <f t="shared" ca="1" si="14"/>
        <v>7545420000000</v>
      </c>
      <c r="T20" s="2">
        <f t="shared" ca="1" si="14"/>
        <v>8534250270000</v>
      </c>
      <c r="U20" s="2">
        <f t="shared" ca="1" si="14"/>
        <v>8734584546000</v>
      </c>
      <c r="V20" s="2">
        <f t="shared" ca="1" si="14"/>
        <v>10257127524000</v>
      </c>
      <c r="W20" s="2">
        <f t="shared" ca="1" si="14"/>
        <v>12981676158000</v>
      </c>
      <c r="X20" s="2">
        <f t="shared" ca="1" si="14"/>
        <v>19632782898000</v>
      </c>
      <c r="Y20" s="2">
        <f t="shared" ca="1" si="14"/>
        <v>18030106782000</v>
      </c>
      <c r="Z20" s="2">
        <f t="shared" ca="1" si="14"/>
        <v>8734584546000</v>
      </c>
    </row>
    <row r="21" spans="1:26" ht="15.5" x14ac:dyDescent="0.35">
      <c r="C21" t="s">
        <v>10</v>
      </c>
      <c r="D21" s="2">
        <f>IFERROR(INDEX(D51:D500,MATCH($C$7,$C$51:$C$500,0)),"")</f>
        <v>24030000000</v>
      </c>
      <c r="H21" s="2">
        <f>IFERROR(INDEX(D21:G21,COUNT(D21:G21)),"")</f>
        <v>24030000000</v>
      </c>
      <c r="I21" s="2">
        <f t="shared" ref="I21:Z21" si="15">IFERROR(INDEX(I51:I500,MATCH($C$7,$C$51:$C$500,0)),"")</f>
        <v>24030000000</v>
      </c>
      <c r="J21" s="2">
        <f t="shared" si="15"/>
        <v>24030000000</v>
      </c>
      <c r="K21" s="2">
        <f t="shared" si="15"/>
        <v>24030000000</v>
      </c>
      <c r="L21" s="2">
        <f t="shared" si="15"/>
        <v>24030000000</v>
      </c>
      <c r="M21" s="2">
        <f t="shared" si="15"/>
        <v>24030000000</v>
      </c>
      <c r="N21" s="2">
        <f t="shared" si="15"/>
        <v>24030000000</v>
      </c>
      <c r="O21" s="2">
        <f t="shared" si="15"/>
        <v>24030000000</v>
      </c>
      <c r="P21" s="2">
        <f t="shared" si="15"/>
        <v>24030000000</v>
      </c>
      <c r="Q21" s="2">
        <f t="shared" si="15"/>
        <v>24030000000</v>
      </c>
      <c r="R21" s="2">
        <f t="shared" si="15"/>
        <v>24030000000</v>
      </c>
      <c r="S21" s="2">
        <f t="shared" si="15"/>
        <v>24030000000</v>
      </c>
      <c r="T21" s="2">
        <f t="shared" si="15"/>
        <v>9540000000</v>
      </c>
      <c r="U21" s="2">
        <f t="shared" si="15"/>
        <v>9540000000</v>
      </c>
      <c r="V21" s="2">
        <f t="shared" si="15"/>
        <v>9540000000</v>
      </c>
      <c r="W21" s="2">
        <f t="shared" si="15"/>
        <v>9540000000</v>
      </c>
      <c r="X21" s="2">
        <f t="shared" si="15"/>
        <v>9540000000</v>
      </c>
      <c r="Y21" s="2">
        <f t="shared" si="15"/>
        <v>9540000000</v>
      </c>
      <c r="Z21" s="2">
        <f t="shared" si="15"/>
        <v>9540000000</v>
      </c>
    </row>
    <row r="23" spans="1:26" ht="15.5" x14ac:dyDescent="0.35">
      <c r="B23" t="s">
        <v>39</v>
      </c>
      <c r="C23" t="s">
        <v>40</v>
      </c>
      <c r="D23" s="3">
        <f>IFERROR(D5/D6*100,"")</f>
        <v>8.7828417410468962</v>
      </c>
      <c r="H23" s="3">
        <f t="shared" ref="H23:Z23" si="16">IFERROR(H5/H6*100,"")</f>
        <v>35.131366964187585</v>
      </c>
      <c r="I23" s="3">
        <f t="shared" si="16"/>
        <v>20.457181205427798</v>
      </c>
      <c r="J23" s="3">
        <f t="shared" si="16"/>
        <v>12.088893537683466</v>
      </c>
      <c r="K23" s="3">
        <f t="shared" si="16"/>
        <v>9.8839492300342009</v>
      </c>
      <c r="L23" s="3">
        <f t="shared" si="16"/>
        <v>16.050203989024993</v>
      </c>
      <c r="M23" s="3">
        <f t="shared" si="16"/>
        <v>10.557732175564945</v>
      </c>
      <c r="N23" s="3">
        <f t="shared" si="16"/>
        <v>5.1150474980722294</v>
      </c>
      <c r="O23" s="3">
        <f t="shared" si="16"/>
        <v>-4.9076453337984452E-2</v>
      </c>
      <c r="P23" s="3">
        <f t="shared" si="16"/>
        <v>6.5686603251929574</v>
      </c>
      <c r="Q23" s="3">
        <f t="shared" si="16"/>
        <v>0.44137196316438831</v>
      </c>
      <c r="R23" s="3">
        <f t="shared" si="16"/>
        <v>0.50019974220939212</v>
      </c>
      <c r="S23" s="3">
        <f t="shared" si="16"/>
        <v>4.9820994354567416</v>
      </c>
      <c r="T23" s="3">
        <f t="shared" si="16"/>
        <v>-6.497972311390285</v>
      </c>
      <c r="U23" s="3">
        <f t="shared" si="16"/>
        <v>3.2058144268647575</v>
      </c>
      <c r="V23" s="3">
        <f t="shared" si="16"/>
        <v>23.292941250480062</v>
      </c>
      <c r="W23" s="3">
        <f t="shared" si="16"/>
        <v>17.867890675209903</v>
      </c>
      <c r="X23" s="3">
        <f t="shared" si="16"/>
        <v>0</v>
      </c>
      <c r="Y23" s="3">
        <f t="shared" si="16"/>
        <v>0</v>
      </c>
      <c r="Z23" s="3">
        <f t="shared" si="16"/>
        <v>0</v>
      </c>
    </row>
    <row r="24" spans="1:26" ht="15.5" x14ac:dyDescent="0.35">
      <c r="C24" t="s">
        <v>41</v>
      </c>
      <c r="D24" s="4">
        <f>IFERROR(_xlfn.RRI(5,I23,D23),"")</f>
        <v>-0.15558127927643239</v>
      </c>
      <c r="H24" s="4">
        <f t="shared" ref="H24:Z24" si="17">IFERROR(_xlfn.RRI(5,M23,H23),"")</f>
        <v>0.27181774904487122</v>
      </c>
      <c r="I24" s="4">
        <f t="shared" si="17"/>
        <v>0.31946910026704334</v>
      </c>
      <c r="J24" s="4" t="str">
        <f t="shared" si="17"/>
        <v/>
      </c>
      <c r="K24" s="4">
        <f t="shared" si="17"/>
        <v>8.515241257085715E-2</v>
      </c>
      <c r="L24" s="4">
        <f t="shared" si="17"/>
        <v>1.0518006487339528</v>
      </c>
      <c r="M24" s="4">
        <f t="shared" si="17"/>
        <v>0.84028647972688097</v>
      </c>
      <c r="N24" s="4">
        <f t="shared" si="17"/>
        <v>5.2809573183953962E-3</v>
      </c>
      <c r="O24" s="4">
        <f t="shared" si="17"/>
        <v>-0.6236264783880987</v>
      </c>
      <c r="P24" s="4">
        <f t="shared" si="17"/>
        <v>0.15427073567718264</v>
      </c>
      <c r="Q24" s="4">
        <f t="shared" si="17"/>
        <v>-0.54760678554230813</v>
      </c>
      <c r="R24" s="4">
        <f t="shared" si="17"/>
        <v>-0.51088156094755854</v>
      </c>
      <c r="S24" s="4" t="str">
        <f t="shared" si="17"/>
        <v/>
      </c>
      <c r="T24" s="4" t="str">
        <f t="shared" si="17"/>
        <v/>
      </c>
      <c r="U24" s="4" t="str">
        <f t="shared" si="17"/>
        <v/>
      </c>
      <c r="V24" s="4" t="str">
        <f t="shared" si="17"/>
        <v/>
      </c>
      <c r="W24" s="4" t="str">
        <f t="shared" si="17"/>
        <v/>
      </c>
      <c r="X24" s="4">
        <f t="shared" si="17"/>
        <v>0</v>
      </c>
      <c r="Y24" s="4">
        <f t="shared" si="17"/>
        <v>0</v>
      </c>
      <c r="Z24" s="4">
        <f t="shared" si="17"/>
        <v>0</v>
      </c>
    </row>
    <row r="25" spans="1:26" ht="15.5" x14ac:dyDescent="0.35">
      <c r="A25" t="s">
        <v>42</v>
      </c>
      <c r="C25" t="s">
        <v>43</v>
      </c>
      <c r="D25" s="3">
        <f>IFERROR(INDEX(D51:D500,MATCH($A$25,$C$51:$C$500,0)),"")</f>
        <v>141.77000000000001</v>
      </c>
      <c r="H25" s="3">
        <f>IFERROR(INDEX(D25:G25,COUNT(D25:G25)),"")</f>
        <v>141.77000000000001</v>
      </c>
      <c r="I25" s="3">
        <f t="shared" ref="I25:Z25" si="18">IFERROR(INDEX(I51:I500,MATCH($C$25,$C$51:$C$500,0)),"")</f>
        <v>299.98</v>
      </c>
      <c r="J25" s="3">
        <f t="shared" si="18"/>
        <v>151.77000000000001</v>
      </c>
      <c r="K25" s="3">
        <f t="shared" si="18"/>
        <v>128.07</v>
      </c>
      <c r="L25" s="3">
        <f t="shared" si="18"/>
        <v>159</v>
      </c>
      <c r="M25" s="3">
        <f t="shared" si="18"/>
        <v>77.47</v>
      </c>
      <c r="N25" s="3">
        <f t="shared" si="18"/>
        <v>47.83</v>
      </c>
      <c r="O25" s="3">
        <f t="shared" si="18"/>
        <v>8.07</v>
      </c>
      <c r="P25" s="3">
        <f t="shared" si="18"/>
        <v>36.39</v>
      </c>
      <c r="Q25" s="3">
        <f t="shared" si="18"/>
        <v>5.68</v>
      </c>
      <c r="R25" s="3">
        <f t="shared" si="18"/>
        <v>2.7</v>
      </c>
      <c r="S25" s="3">
        <f t="shared" si="18"/>
        <v>-59.96</v>
      </c>
      <c r="T25" s="3">
        <f t="shared" si="18"/>
        <v>-81.28</v>
      </c>
      <c r="U25" s="3">
        <f t="shared" si="18"/>
        <v>42.98</v>
      </c>
      <c r="V25" s="3">
        <f t="shared" si="18"/>
        <v>313.79000000000002</v>
      </c>
      <c r="W25" s="3">
        <f t="shared" si="18"/>
        <v>202.12</v>
      </c>
      <c r="X25" s="3">
        <f t="shared" si="18"/>
        <v>175.6</v>
      </c>
      <c r="Y25" s="3">
        <f t="shared" si="18"/>
        <v>62.4</v>
      </c>
      <c r="Z25" s="3">
        <f t="shared" si="18"/>
        <v>143.53</v>
      </c>
    </row>
    <row r="26" spans="1:26" ht="15.5" x14ac:dyDescent="0.35">
      <c r="C26" t="s">
        <v>44</v>
      </c>
      <c r="D26" s="4">
        <f>IFERROR(_xlfn.RRI(5,I25,D25),"")</f>
        <v>-0.13920763212275689</v>
      </c>
      <c r="H26" s="4">
        <f t="shared" ref="H26:Z26" si="19">IFERROR(_xlfn.RRI(5,M25,H25),"")</f>
        <v>0.12847036036122383</v>
      </c>
      <c r="I26" s="4">
        <f t="shared" si="19"/>
        <v>0.44370474539392846</v>
      </c>
      <c r="J26" s="4">
        <f t="shared" si="19"/>
        <v>0.79830138963507324</v>
      </c>
      <c r="K26" s="4">
        <f t="shared" si="19"/>
        <v>0.28615429035000028</v>
      </c>
      <c r="L26" s="4">
        <f t="shared" si="19"/>
        <v>0.94719639894182217</v>
      </c>
      <c r="M26" s="4">
        <f t="shared" si="19"/>
        <v>0.95683387715047519</v>
      </c>
      <c r="N26" s="4" t="str">
        <f t="shared" si="19"/>
        <v/>
      </c>
      <c r="O26" s="4" t="str">
        <f t="shared" si="19"/>
        <v/>
      </c>
      <c r="P26" s="4">
        <f t="shared" si="19"/>
        <v>-3.2740221552700177E-2</v>
      </c>
      <c r="Q26" s="4">
        <f t="shared" si="19"/>
        <v>-0.55172775792348716</v>
      </c>
      <c r="R26" s="4">
        <f t="shared" si="19"/>
        <v>-0.5781569533435682</v>
      </c>
      <c r="S26" s="4" t="str">
        <f t="shared" si="19"/>
        <v/>
      </c>
      <c r="T26" s="4" t="str">
        <f t="shared" si="19"/>
        <v/>
      </c>
      <c r="U26" s="4">
        <f t="shared" si="19"/>
        <v>-0.21428554100182839</v>
      </c>
      <c r="V26" s="4" t="str">
        <f t="shared" si="19"/>
        <v/>
      </c>
      <c r="W26" s="4" t="str">
        <f t="shared" si="19"/>
        <v/>
      </c>
      <c r="X26" s="4" t="str">
        <f t="shared" si="19"/>
        <v/>
      </c>
      <c r="Y26" s="4" t="str">
        <f t="shared" si="19"/>
        <v/>
      </c>
      <c r="Z26" s="4" t="str">
        <f t="shared" si="19"/>
        <v/>
      </c>
    </row>
    <row r="27" spans="1:26" ht="15.5" x14ac:dyDescent="0.35">
      <c r="C27" t="s">
        <v>45</v>
      </c>
      <c r="D27" s="3">
        <f>IFERROR(D4/D21,"")</f>
        <v>1220.2803995006243</v>
      </c>
      <c r="H27" s="3">
        <f t="shared" ref="H27:Z27" si="20">IFERROR(H4/H21,"")</f>
        <v>4881.1215980024972</v>
      </c>
      <c r="I27" s="3">
        <f t="shared" si="20"/>
        <v>3522.3653349979195</v>
      </c>
      <c r="J27" s="3">
        <f t="shared" si="20"/>
        <v>2879.4190595089472</v>
      </c>
      <c r="K27" s="3">
        <f t="shared" si="20"/>
        <v>1708.1853100291303</v>
      </c>
      <c r="L27" s="3">
        <f t="shared" si="20"/>
        <v>1911.3756138160632</v>
      </c>
      <c r="M27" s="3">
        <f t="shared" si="20"/>
        <v>1599.8999167707034</v>
      </c>
      <c r="N27" s="3">
        <f t="shared" si="20"/>
        <v>1139.095342946317</v>
      </c>
      <c r="O27" s="3">
        <f t="shared" si="20"/>
        <v>1361.5706491468998</v>
      </c>
      <c r="P27" s="3">
        <f t="shared" si="20"/>
        <v>1050.4065071577195</v>
      </c>
      <c r="Q27" s="3">
        <f t="shared" si="20"/>
        <v>526.57591364960467</v>
      </c>
      <c r="R27" s="3">
        <f t="shared" si="20"/>
        <v>378.95383911776946</v>
      </c>
      <c r="S27" s="3">
        <f t="shared" si="20"/>
        <v>438.26486899708698</v>
      </c>
      <c r="T27" s="3">
        <f t="shared" si="20"/>
        <v>987.48751918238997</v>
      </c>
      <c r="U27" s="3">
        <f t="shared" si="20"/>
        <v>1184.3104303983228</v>
      </c>
      <c r="V27" s="3">
        <f t="shared" si="20"/>
        <v>1095.375839832285</v>
      </c>
      <c r="W27" s="3">
        <f t="shared" si="20"/>
        <v>1084.5318033542976</v>
      </c>
      <c r="X27" s="3">
        <f t="shared" si="20"/>
        <v>916.59331436058699</v>
      </c>
      <c r="Y27" s="3">
        <f t="shared" si="20"/>
        <v>913.14153616352201</v>
      </c>
      <c r="Z27" s="3">
        <f t="shared" si="20"/>
        <v>1005.4487566037736</v>
      </c>
    </row>
    <row r="28" spans="1:26" ht="15.5" x14ac:dyDescent="0.35">
      <c r="C28" t="s">
        <v>46</v>
      </c>
      <c r="D28" s="4">
        <f>IFERROR(_xlfn.RRI(5,I27,D27),"")</f>
        <v>-0.19104372631955779</v>
      </c>
      <c r="H28" s="4">
        <f t="shared" ref="H28:Z28" si="21">IFERROR(_xlfn.RRI(5,M27,H27),"")</f>
        <v>0.24992905133134213</v>
      </c>
      <c r="I28" s="4">
        <f t="shared" si="21"/>
        <v>0.25329949426332243</v>
      </c>
      <c r="J28" s="4">
        <f t="shared" si="21"/>
        <v>0.1615901985662862</v>
      </c>
      <c r="K28" s="4">
        <f t="shared" si="21"/>
        <v>0.10213683110398453</v>
      </c>
      <c r="L28" s="4">
        <f t="shared" si="21"/>
        <v>0.29412733364502097</v>
      </c>
      <c r="M28" s="4">
        <f t="shared" si="21"/>
        <v>0.33383251764841315</v>
      </c>
      <c r="N28" s="4">
        <f t="shared" si="21"/>
        <v>0.21049969234245691</v>
      </c>
      <c r="O28" s="4">
        <f t="shared" si="21"/>
        <v>6.6354763020141094E-2</v>
      </c>
      <c r="P28" s="4">
        <f t="shared" si="21"/>
        <v>-2.3711058928772677E-2</v>
      </c>
      <c r="Q28" s="4">
        <f t="shared" si="21"/>
        <v>-0.13626689304561534</v>
      </c>
      <c r="R28" s="4">
        <f t="shared" si="21"/>
        <v>-0.18965715125315874</v>
      </c>
      <c r="S28" s="4">
        <f t="shared" si="21"/>
        <v>-0.13719630796996896</v>
      </c>
      <c r="T28" s="4">
        <f t="shared" si="21"/>
        <v>1.5777768283461668E-2</v>
      </c>
      <c r="U28" s="4">
        <f t="shared" si="21"/>
        <v>3.3287373752404426E-2</v>
      </c>
      <c r="V28" s="4" t="str">
        <f t="shared" si="21"/>
        <v/>
      </c>
      <c r="W28" s="4" t="str">
        <f t="shared" si="21"/>
        <v/>
      </c>
      <c r="X28" s="4" t="str">
        <f t="shared" si="21"/>
        <v/>
      </c>
      <c r="Y28" s="4" t="str">
        <f t="shared" si="21"/>
        <v/>
      </c>
      <c r="Z28" s="4" t="str">
        <f t="shared" si="21"/>
        <v/>
      </c>
    </row>
    <row r="32" spans="1:26" ht="15.5" x14ac:dyDescent="0.35">
      <c r="A32" t="s">
        <v>47</v>
      </c>
      <c r="B32" t="s">
        <v>48</v>
      </c>
      <c r="C32" t="s">
        <v>49</v>
      </c>
      <c r="D32" s="3">
        <f>IFERROR(INDEX(D51:D500,MATCH($A$32,$C$51:$C$500,0)),"")</f>
        <v>1616.55</v>
      </c>
      <c r="H32" s="3">
        <f>IFERROR(INDEX(D32:G32,COUNT(D32:G32)),"")</f>
        <v>1616.55</v>
      </c>
      <c r="I32" s="3">
        <f t="shared" ref="I32:Z32" si="22">IFERROR(INDEX(I51:I500,MATCH($C$32,$C$51:$C$500,0)),"")</f>
        <v>1468.88</v>
      </c>
      <c r="J32" s="3">
        <f t="shared" si="22"/>
        <v>1309.08</v>
      </c>
      <c r="K32" s="3">
        <f t="shared" si="22"/>
        <v>1275.17</v>
      </c>
      <c r="L32" s="3">
        <f t="shared" si="22"/>
        <v>986.74</v>
      </c>
      <c r="M32" s="3">
        <f t="shared" si="22"/>
        <v>867.1</v>
      </c>
      <c r="N32" s="3">
        <f t="shared" si="22"/>
        <v>792.29</v>
      </c>
      <c r="O32" s="3">
        <f t="shared" si="22"/>
        <v>754.59</v>
      </c>
      <c r="P32" s="3">
        <f t="shared" si="22"/>
        <v>821.41</v>
      </c>
      <c r="Q32" s="3">
        <f t="shared" si="22"/>
        <v>769.45</v>
      </c>
      <c r="R32" s="3">
        <f t="shared" si="22"/>
        <v>766.05</v>
      </c>
      <c r="S32" s="3">
        <f t="shared" si="22"/>
        <v>762.22</v>
      </c>
      <c r="T32" s="3">
        <f t="shared" si="22"/>
        <v>1250.68</v>
      </c>
      <c r="U32" s="3">
        <f t="shared" si="22"/>
        <v>1341.25</v>
      </c>
      <c r="V32" s="3">
        <f t="shared" si="22"/>
        <v>1345.32</v>
      </c>
      <c r="W32" s="3">
        <f t="shared" si="22"/>
        <v>1129.33</v>
      </c>
      <c r="X32" s="3">
        <f t="shared" si="22"/>
        <v>1004.37</v>
      </c>
      <c r="Y32" s="3">
        <f t="shared" si="22"/>
        <v>854.32</v>
      </c>
      <c r="Z32" s="3">
        <f t="shared" si="22"/>
        <v>845.33</v>
      </c>
    </row>
    <row r="33" spans="1:26" ht="15.5" x14ac:dyDescent="0.35">
      <c r="A33" t="s">
        <v>50</v>
      </c>
      <c r="B33" t="s">
        <v>51</v>
      </c>
      <c r="C33" t="s">
        <v>52</v>
      </c>
      <c r="D33" s="3">
        <f>IFERROR(INDEX(D51:D500,MATCH($A$33,$C$51:$C$500,0)),"")</f>
        <v>2.17</v>
      </c>
      <c r="H33" s="3">
        <f>IFERROR(INDEX(D33:G33,COUNT(D33:G33)),"")</f>
        <v>2.17</v>
      </c>
      <c r="I33" s="3">
        <f t="shared" ref="I33:Z33" si="23">IFERROR(INDEX(I51:I500,MATCH($C$33,$C$51:$C$500,0)),"")</f>
        <v>2.14</v>
      </c>
      <c r="J33" s="3">
        <f t="shared" si="23"/>
        <v>1.1599999999999999</v>
      </c>
      <c r="K33" s="3">
        <f t="shared" si="23"/>
        <v>1.34</v>
      </c>
      <c r="L33" s="3">
        <f t="shared" si="23"/>
        <v>2.0099999999999998</v>
      </c>
      <c r="M33" s="3">
        <f t="shared" si="23"/>
        <v>2.59</v>
      </c>
      <c r="N33" s="3">
        <f t="shared" si="23"/>
        <v>2.44</v>
      </c>
      <c r="O33" s="3">
        <f t="shared" si="23"/>
        <v>1.1100000000000001</v>
      </c>
      <c r="P33" s="3">
        <f t="shared" si="23"/>
        <v>0.93</v>
      </c>
      <c r="Q33" s="3">
        <f t="shared" si="23"/>
        <v>0.81</v>
      </c>
      <c r="R33" s="3">
        <f t="shared" si="23"/>
        <v>1.17</v>
      </c>
      <c r="S33" s="3">
        <f t="shared" si="23"/>
        <v>0.41</v>
      </c>
      <c r="T33" s="3">
        <f t="shared" si="23"/>
        <v>0.85</v>
      </c>
      <c r="U33" s="3">
        <f t="shared" si="23"/>
        <v>0.81</v>
      </c>
      <c r="V33" s="3">
        <f t="shared" si="23"/>
        <v>0.95</v>
      </c>
      <c r="W33" s="3">
        <f t="shared" si="23"/>
        <v>1.43</v>
      </c>
      <c r="X33" s="3">
        <f t="shared" si="23"/>
        <v>2.44</v>
      </c>
      <c r="Y33" s="3">
        <f t="shared" si="23"/>
        <v>2.58</v>
      </c>
      <c r="Z33" s="3">
        <f t="shared" si="23"/>
        <v>1.29</v>
      </c>
    </row>
    <row r="34" spans="1:26" ht="15.5" x14ac:dyDescent="0.35">
      <c r="A34" t="s">
        <v>53</v>
      </c>
      <c r="B34" t="s">
        <v>54</v>
      </c>
      <c r="C34" t="s">
        <v>55</v>
      </c>
      <c r="D34" s="3">
        <f>IFERROR(INDEX(D51:D500,MATCH($A$34,$C$51:$C$500,0)),"")</f>
        <v>24.69</v>
      </c>
      <c r="H34" s="3">
        <f>IFERROR(INDEX(D34:G34,COUNT(D34:G34)),"")</f>
        <v>24.69</v>
      </c>
      <c r="I34" s="3">
        <f t="shared" ref="I34:Z34" si="24">IFERROR(INDEX(I51:I500,MATCH($C$34,$C$51:$C$500,0)),"")</f>
        <v>10.5</v>
      </c>
      <c r="J34" s="3">
        <f t="shared" si="24"/>
        <v>10.050000000000001</v>
      </c>
      <c r="K34" s="3">
        <f t="shared" si="24"/>
        <v>13.31</v>
      </c>
      <c r="L34" s="3">
        <f t="shared" si="24"/>
        <v>12.48</v>
      </c>
      <c r="M34" s="3">
        <f t="shared" si="24"/>
        <v>29.04</v>
      </c>
      <c r="N34" s="3">
        <f t="shared" si="24"/>
        <v>40.46</v>
      </c>
      <c r="O34" s="3">
        <f t="shared" si="24"/>
        <v>104.09</v>
      </c>
      <c r="P34" s="3">
        <f t="shared" si="24"/>
        <v>21.02</v>
      </c>
      <c r="Q34" s="3">
        <f t="shared" si="24"/>
        <v>110.04</v>
      </c>
      <c r="R34" s="3">
        <f t="shared" si="24"/>
        <v>331.48</v>
      </c>
      <c r="S34" s="3">
        <f t="shared" si="24"/>
        <v>-5.24</v>
      </c>
      <c r="T34" s="3">
        <f t="shared" si="24"/>
        <v>-13.12</v>
      </c>
      <c r="U34" s="3">
        <f t="shared" si="24"/>
        <v>25.38</v>
      </c>
      <c r="V34" s="3">
        <f t="shared" si="24"/>
        <v>4.08</v>
      </c>
      <c r="W34" s="3">
        <f t="shared" si="24"/>
        <v>8.02</v>
      </c>
      <c r="X34" s="3">
        <f t="shared" si="24"/>
        <v>13.95</v>
      </c>
      <c r="Y34" s="3">
        <f t="shared" si="24"/>
        <v>35.26</v>
      </c>
      <c r="Z34" s="3">
        <f t="shared" si="24"/>
        <v>7.6</v>
      </c>
    </row>
    <row r="35" spans="1:26" ht="15.5" x14ac:dyDescent="0.35">
      <c r="A35" t="s">
        <v>56</v>
      </c>
      <c r="B35" t="s">
        <v>57</v>
      </c>
      <c r="C35" t="s">
        <v>58</v>
      </c>
      <c r="D35" s="3">
        <f>IFERROR(INDEX(D51:D500,MATCH($A$35,$C$51:$C$500,0)),"")</f>
        <v>2.87</v>
      </c>
      <c r="H35" s="3">
        <f>IFERROR(INDEX(D35:G35,COUNT(D35:G35)),"")</f>
        <v>2.87</v>
      </c>
      <c r="I35" s="3">
        <f t="shared" ref="I35:Z35" si="25">IFERROR(INDEX(I51:I500,MATCH($C$35,$C$51:$C$500,0)),"")</f>
        <v>0.89</v>
      </c>
      <c r="J35" s="3">
        <f t="shared" si="25"/>
        <v>0.53</v>
      </c>
      <c r="K35" s="3">
        <f t="shared" si="25"/>
        <v>1</v>
      </c>
      <c r="L35" s="3">
        <f t="shared" si="25"/>
        <v>1.04</v>
      </c>
      <c r="M35" s="3">
        <f t="shared" si="25"/>
        <v>1.41</v>
      </c>
      <c r="N35" s="3">
        <f t="shared" si="25"/>
        <v>1.7</v>
      </c>
      <c r="O35" s="3">
        <f t="shared" si="25"/>
        <v>0.62</v>
      </c>
      <c r="P35" s="3">
        <f t="shared" si="25"/>
        <v>0.73</v>
      </c>
      <c r="Q35" s="3">
        <f t="shared" si="25"/>
        <v>1.19</v>
      </c>
      <c r="R35" s="3">
        <f t="shared" si="25"/>
        <v>2.36</v>
      </c>
      <c r="S35" s="3">
        <f t="shared" si="25"/>
        <v>0.72</v>
      </c>
      <c r="T35" s="3">
        <f t="shared" si="25"/>
        <v>1.08</v>
      </c>
      <c r="U35" s="3">
        <f t="shared" si="25"/>
        <v>0.92</v>
      </c>
      <c r="V35" s="3">
        <f t="shared" si="25"/>
        <v>1.17</v>
      </c>
      <c r="W35" s="3">
        <f t="shared" si="25"/>
        <v>1.49</v>
      </c>
      <c r="X35" s="3">
        <f t="shared" si="25"/>
        <v>2.67</v>
      </c>
      <c r="Y35" s="3">
        <f t="shared" si="25"/>
        <v>2.41</v>
      </c>
      <c r="Z35" s="3">
        <f t="shared" si="25"/>
        <v>1.08</v>
      </c>
    </row>
    <row r="36" spans="1:26" ht="15.5" x14ac:dyDescent="0.35">
      <c r="B36" t="s">
        <v>59</v>
      </c>
      <c r="C36" t="s">
        <v>60</v>
      </c>
      <c r="D36" s="4">
        <f>IFERROR(INDEX(D51:D500,MATCH($C$36,$C$51:$C$500,0)),"")</f>
        <v>0</v>
      </c>
      <c r="H36" s="4">
        <f t="shared" ref="H36:Z36" si="26">IFERROR(INDEX(H51:H500,MATCH($C$36,$C$51:$C$500,0)),"")</f>
        <v>0.37030000000000002</v>
      </c>
      <c r="I36" s="4">
        <f t="shared" si="26"/>
        <v>0.7</v>
      </c>
      <c r="J36" s="4">
        <f t="shared" si="26"/>
        <v>1</v>
      </c>
      <c r="K36" s="4">
        <f t="shared" si="26"/>
        <v>1</v>
      </c>
      <c r="L36" s="4">
        <f t="shared" si="26"/>
        <v>0.5</v>
      </c>
      <c r="M36" s="4">
        <f t="shared" si="26"/>
        <v>0.5</v>
      </c>
      <c r="N36" s="4">
        <f t="shared" si="26"/>
        <v>0.35</v>
      </c>
      <c r="O36" s="4">
        <f t="shared" si="26"/>
        <v>0.34960000000000002</v>
      </c>
      <c r="P36" s="4">
        <f t="shared" si="26"/>
        <v>0.35009999999999997</v>
      </c>
      <c r="Q36" s="4">
        <f t="shared" si="26"/>
        <v>0.3503</v>
      </c>
      <c r="R36" s="4">
        <f t="shared" si="26"/>
        <v>0</v>
      </c>
      <c r="S36" s="4">
        <f t="shared" si="26"/>
        <v>0</v>
      </c>
      <c r="T36" s="4">
        <f t="shared" si="26"/>
        <v>0</v>
      </c>
      <c r="U36" s="4">
        <f t="shared" si="26"/>
        <v>0</v>
      </c>
      <c r="V36" s="4">
        <f t="shared" si="26"/>
        <v>0</v>
      </c>
      <c r="W36" s="4">
        <f t="shared" si="26"/>
        <v>0</v>
      </c>
      <c r="X36" s="4">
        <f t="shared" si="26"/>
        <v>0</v>
      </c>
      <c r="Y36" s="4">
        <f t="shared" si="26"/>
        <v>0</v>
      </c>
      <c r="Z36" s="4">
        <f t="shared" si="26"/>
        <v>0</v>
      </c>
    </row>
    <row r="37" spans="1:26" ht="15.5" x14ac:dyDescent="0.35">
      <c r="B37" t="s">
        <v>61</v>
      </c>
      <c r="C37" t="s">
        <v>62</v>
      </c>
      <c r="D37" s="3">
        <f>IFERROR(INDEX(D51:D500,MATCH($C$37,$C$51:$C$500,0)),"")</f>
        <v>0</v>
      </c>
      <c r="H37" s="3">
        <f t="shared" ref="H37:Z37" si="27">IFERROR(INDEX(H51:H500,MATCH($C$37,$C$51:$C$500,0)),"")</f>
        <v>209.99</v>
      </c>
      <c r="I37" s="3">
        <f t="shared" si="27"/>
        <v>209.99</v>
      </c>
      <c r="J37" s="3">
        <f t="shared" si="27"/>
        <v>151.77000000000001</v>
      </c>
      <c r="K37" s="3">
        <f t="shared" si="27"/>
        <v>128.07</v>
      </c>
      <c r="L37" s="3">
        <f t="shared" si="27"/>
        <v>79.5</v>
      </c>
      <c r="M37" s="3">
        <f t="shared" si="27"/>
        <v>38.74</v>
      </c>
      <c r="N37" s="3">
        <f t="shared" si="27"/>
        <v>16.739999999999998</v>
      </c>
      <c r="O37" s="3">
        <f t="shared" si="27"/>
        <v>2.82</v>
      </c>
      <c r="P37" s="3">
        <f t="shared" si="27"/>
        <v>12.74</v>
      </c>
      <c r="Q37" s="3">
        <f t="shared" si="27"/>
        <v>1.99</v>
      </c>
      <c r="R37" s="3">
        <f t="shared" si="27"/>
        <v>0</v>
      </c>
      <c r="S37" s="3">
        <f t="shared" si="27"/>
        <v>0</v>
      </c>
      <c r="T37" s="3">
        <f t="shared" si="27"/>
        <v>0</v>
      </c>
      <c r="U37" s="3">
        <f t="shared" si="27"/>
        <v>0</v>
      </c>
      <c r="V37" s="3">
        <f t="shared" si="27"/>
        <v>0</v>
      </c>
      <c r="W37" s="3">
        <f t="shared" si="27"/>
        <v>0</v>
      </c>
      <c r="X37" s="3">
        <f t="shared" si="27"/>
        <v>0</v>
      </c>
      <c r="Y37" s="3">
        <f t="shared" si="27"/>
        <v>0</v>
      </c>
      <c r="Z37" s="3">
        <f t="shared" si="27"/>
        <v>0</v>
      </c>
    </row>
    <row r="50" spans="2:26" ht="15.5" x14ac:dyDescent="0.35">
      <c r="D50" t="s">
        <v>63</v>
      </c>
      <c r="E50" t="s">
        <v>64</v>
      </c>
      <c r="F50" t="s">
        <v>65</v>
      </c>
      <c r="G50" t="s">
        <v>66</v>
      </c>
      <c r="H50" t="s">
        <v>67</v>
      </c>
      <c r="I50" t="s">
        <v>30</v>
      </c>
      <c r="J50" t="s">
        <v>31</v>
      </c>
      <c r="K50" t="s">
        <v>32</v>
      </c>
      <c r="L50" t="s">
        <v>33</v>
      </c>
      <c r="M50" t="s">
        <v>34</v>
      </c>
      <c r="N50" t="s">
        <v>311</v>
      </c>
      <c r="O50" t="s">
        <v>312</v>
      </c>
      <c r="P50" t="s">
        <v>313</v>
      </c>
      <c r="Q50" t="s">
        <v>314</v>
      </c>
      <c r="R50" t="s">
        <v>315</v>
      </c>
      <c r="S50" t="s">
        <v>316</v>
      </c>
      <c r="T50" t="s">
        <v>317</v>
      </c>
      <c r="U50" t="s">
        <v>318</v>
      </c>
      <c r="V50" t="s">
        <v>319</v>
      </c>
      <c r="W50" t="s">
        <v>320</v>
      </c>
      <c r="X50" t="s">
        <v>321</v>
      </c>
      <c r="Y50" t="s">
        <v>322</v>
      </c>
      <c r="Z50" t="s">
        <v>323</v>
      </c>
    </row>
    <row r="51" spans="2:26" ht="15.5" x14ac:dyDescent="0.35">
      <c r="B51" t="s">
        <v>68</v>
      </c>
      <c r="C51" t="s">
        <v>4</v>
      </c>
      <c r="D51" s="5">
        <v>29323338000000</v>
      </c>
      <c r="E51" s="5">
        <v>12614315000000</v>
      </c>
      <c r="F51" s="5">
        <v>13008399000000</v>
      </c>
      <c r="G51" s="5">
        <v>32868024000000</v>
      </c>
      <c r="I51" s="5">
        <v>84642439000000</v>
      </c>
      <c r="J51" s="5">
        <v>69192440000000</v>
      </c>
      <c r="K51" s="5">
        <v>41047693000000</v>
      </c>
      <c r="L51" s="5">
        <v>45930356000000</v>
      </c>
      <c r="M51" s="5">
        <v>38445595000000</v>
      </c>
      <c r="N51" s="5">
        <v>27372461091000</v>
      </c>
      <c r="O51" s="5">
        <v>32718542699000</v>
      </c>
      <c r="P51" s="5">
        <v>25241268367000</v>
      </c>
      <c r="Q51" s="5">
        <v>12653619205000</v>
      </c>
      <c r="R51" s="5">
        <v>9106260754000</v>
      </c>
      <c r="S51" s="5">
        <v>10531504802000</v>
      </c>
      <c r="T51" s="5">
        <v>9420630933000</v>
      </c>
      <c r="U51" s="5">
        <v>11298321506000</v>
      </c>
      <c r="V51" s="5">
        <v>10449885512000</v>
      </c>
      <c r="W51" s="5">
        <v>10346433404000</v>
      </c>
      <c r="X51" s="5">
        <v>8744300219000</v>
      </c>
      <c r="Y51" s="5">
        <v>8711370255000</v>
      </c>
      <c r="Z51" s="5">
        <v>9591981138000</v>
      </c>
    </row>
    <row r="52" spans="2:26" ht="15.5" x14ac:dyDescent="0.35">
      <c r="C52" t="s">
        <v>69</v>
      </c>
      <c r="D52" s="5">
        <v>-23706590000000</v>
      </c>
      <c r="E52" s="5">
        <v>-9917120000000</v>
      </c>
      <c r="F52" s="5">
        <v>-10261910000000</v>
      </c>
      <c r="G52" s="5">
        <v>-28266773000000</v>
      </c>
      <c r="I52" s="5">
        <v>-70961090000000</v>
      </c>
      <c r="J52" s="5">
        <v>-62694143000000</v>
      </c>
      <c r="K52" s="5">
        <v>-34733015000000</v>
      </c>
      <c r="L52" s="5">
        <v>-37719837000000</v>
      </c>
      <c r="M52" s="5">
        <v>-32086534000000</v>
      </c>
      <c r="N52" s="5">
        <v>-22896684435000</v>
      </c>
      <c r="O52" s="5">
        <v>-28271386345000</v>
      </c>
      <c r="P52" s="5">
        <v>-21764832184000</v>
      </c>
      <c r="Q52" s="5">
        <v>-11009726759000</v>
      </c>
      <c r="R52" s="5">
        <v>-8254466187000</v>
      </c>
      <c r="S52" s="5">
        <v>-10336364157000</v>
      </c>
      <c r="T52" s="5">
        <v>-8644136017000</v>
      </c>
      <c r="U52" s="5">
        <v>-9682520825000</v>
      </c>
      <c r="V52" s="5">
        <v>-8427157554000</v>
      </c>
      <c r="W52" s="5">
        <v>-7318735238000</v>
      </c>
      <c r="X52" s="5">
        <v>-5807220162000</v>
      </c>
      <c r="Y52" s="5">
        <v>-7513371858000</v>
      </c>
      <c r="Z52" s="5">
        <v>-6940796904000</v>
      </c>
    </row>
    <row r="53" spans="2:26" ht="15.5" x14ac:dyDescent="0.35">
      <c r="C53" t="s">
        <v>70</v>
      </c>
      <c r="D53" s="5">
        <v>5616748000000</v>
      </c>
      <c r="E53" s="5">
        <v>2697195000000</v>
      </c>
      <c r="F53" s="5">
        <v>2746489000000</v>
      </c>
      <c r="G53" s="5">
        <v>4601251000000</v>
      </c>
      <c r="I53" s="5">
        <v>13681349000000</v>
      </c>
      <c r="J53" s="5">
        <v>6498297000000</v>
      </c>
      <c r="K53" s="5">
        <v>6314678000000</v>
      </c>
      <c r="L53" s="5">
        <v>8210519000000</v>
      </c>
      <c r="M53" s="5">
        <v>6359061000000</v>
      </c>
      <c r="N53" s="5">
        <v>4475776656000</v>
      </c>
      <c r="O53" s="5">
        <v>4447156354000</v>
      </c>
      <c r="P53" s="5">
        <v>3476436183000</v>
      </c>
      <c r="Q53" s="5">
        <v>1643892446000</v>
      </c>
      <c r="R53" s="5">
        <v>851794567000</v>
      </c>
      <c r="S53" s="5">
        <v>195140645000</v>
      </c>
      <c r="T53" s="5">
        <v>776494916000</v>
      </c>
      <c r="U53" s="5">
        <v>1615800681000</v>
      </c>
      <c r="V53" s="5">
        <v>2022727958000</v>
      </c>
      <c r="W53" s="5">
        <v>3027698166000</v>
      </c>
      <c r="X53" s="5">
        <v>2937080057000</v>
      </c>
      <c r="Y53" s="5">
        <v>1197998397000</v>
      </c>
      <c r="Z53" s="5">
        <v>2651184234000</v>
      </c>
    </row>
    <row r="54" spans="2:26" ht="15.5" x14ac:dyDescent="0.35">
      <c r="C54" t="s">
        <v>71</v>
      </c>
      <c r="D54" s="5">
        <v>-1113789000000</v>
      </c>
      <c r="E54" s="5">
        <v>-2189878000000</v>
      </c>
      <c r="F54" s="5">
        <v>-996379000000</v>
      </c>
      <c r="G54" s="5">
        <v>-1154946000000</v>
      </c>
      <c r="I54" s="5">
        <v>-5286319000000</v>
      </c>
      <c r="J54" s="5">
        <v>-3500344000000</v>
      </c>
      <c r="K54" s="5">
        <v>-3697784000000</v>
      </c>
      <c r="L54" s="5">
        <v>-4268648000000</v>
      </c>
      <c r="M54" s="5">
        <v>-3620917000000</v>
      </c>
      <c r="N54" s="5">
        <v>-2443473812000</v>
      </c>
      <c r="O54" s="5">
        <v>-3491541536000</v>
      </c>
      <c r="P54" s="5">
        <v>-1623707332000</v>
      </c>
      <c r="Q54" s="5">
        <v>-1043286128000</v>
      </c>
      <c r="R54" s="5">
        <v>-843638508000</v>
      </c>
      <c r="S54" s="5">
        <v>-896579167000</v>
      </c>
      <c r="T54" s="5">
        <v>-955899898000</v>
      </c>
      <c r="U54" s="5">
        <v>-1194768989000</v>
      </c>
      <c r="V54" s="5">
        <v>-1126863902000</v>
      </c>
      <c r="W54" s="5">
        <v>-1014819741000</v>
      </c>
      <c r="X54" s="5">
        <v>-990544014000</v>
      </c>
      <c r="Y54" s="5">
        <v>-610477292000</v>
      </c>
      <c r="Z54" s="5">
        <v>-937888223000</v>
      </c>
    </row>
    <row r="55" spans="2:26" ht="15.5" x14ac:dyDescent="0.35">
      <c r="C55" t="s">
        <v>325</v>
      </c>
      <c r="D55" s="5">
        <v>-666753000000</v>
      </c>
      <c r="E55" s="5">
        <v>-1579914000000</v>
      </c>
      <c r="F55" s="5">
        <v>-719826000000</v>
      </c>
      <c r="G55" s="5">
        <v>-694182000000</v>
      </c>
      <c r="I55" s="5">
        <v>-3575923000000</v>
      </c>
      <c r="J55" s="5">
        <v>-2898333000000</v>
      </c>
      <c r="K55" s="5">
        <v>-2863958000000</v>
      </c>
      <c r="L55" s="5">
        <v>-3351019000000</v>
      </c>
      <c r="M55" s="5">
        <v>-2542548000000</v>
      </c>
      <c r="N55" s="5">
        <v>-1910403835000</v>
      </c>
      <c r="O55" s="5">
        <v>-2047135504000</v>
      </c>
      <c r="P55" s="5">
        <v>-1091989469000</v>
      </c>
      <c r="Q55" s="5">
        <v>-794369050000</v>
      </c>
      <c r="R55" s="5">
        <v>-707278248000</v>
      </c>
      <c r="S55" s="5">
        <v>-776280373000</v>
      </c>
      <c r="T55" s="5">
        <v>-809171729000</v>
      </c>
      <c r="U55" s="5">
        <v>-953439884000</v>
      </c>
      <c r="V55" s="5">
        <v>-857209800000</v>
      </c>
      <c r="W55" s="5">
        <v>-783757736000</v>
      </c>
      <c r="X55" s="5">
        <v>-756993203000</v>
      </c>
      <c r="Y55" s="5">
        <v>-468182753000</v>
      </c>
      <c r="Z55" s="5">
        <v>-650963574000</v>
      </c>
    </row>
    <row r="56" spans="2:26" ht="15.5" x14ac:dyDescent="0.35">
      <c r="C56" t="s">
        <v>324</v>
      </c>
      <c r="D56" s="5">
        <v>-447036000000</v>
      </c>
      <c r="E56" s="5">
        <v>-609964000000</v>
      </c>
      <c r="F56" s="5">
        <v>-276553000000</v>
      </c>
      <c r="G56" s="5">
        <v>-460764000000</v>
      </c>
      <c r="I56" s="5">
        <v>-1710396000000</v>
      </c>
      <c r="J56" s="5">
        <v>-602011000000</v>
      </c>
      <c r="K56" s="5">
        <v>-833826000000</v>
      </c>
      <c r="L56" s="5">
        <v>-917629000000</v>
      </c>
      <c r="M56" s="5">
        <v>-1078369000000</v>
      </c>
      <c r="N56" s="5">
        <v>-533069977000</v>
      </c>
      <c r="O56" s="5">
        <v>-1444406032000</v>
      </c>
      <c r="P56" s="5">
        <v>-531717863000</v>
      </c>
      <c r="Q56" s="5">
        <v>-248917078000</v>
      </c>
      <c r="R56" s="5">
        <v>-136360260000</v>
      </c>
      <c r="S56" s="5">
        <v>-120298794000</v>
      </c>
      <c r="T56" s="5">
        <v>-146728169000</v>
      </c>
      <c r="U56" s="5">
        <v>-160967042000</v>
      </c>
      <c r="V56" s="5">
        <v>-179218327000</v>
      </c>
      <c r="W56" s="5">
        <v>-133786186000</v>
      </c>
      <c r="X56" s="5">
        <v>-104269787000</v>
      </c>
      <c r="Y56" s="5">
        <v>-77877295000</v>
      </c>
      <c r="Z56" s="5">
        <v>-150775271000</v>
      </c>
    </row>
    <row r="57" spans="2:26" ht="15.5" x14ac:dyDescent="0.35">
      <c r="C57" t="s">
        <v>368</v>
      </c>
      <c r="U57" s="5">
        <v>-80362063000</v>
      </c>
      <c r="V57" s="5">
        <v>-90435775000</v>
      </c>
      <c r="W57" s="5">
        <v>-97275819000</v>
      </c>
      <c r="X57" s="5">
        <v>-129281024000</v>
      </c>
      <c r="Y57" s="5">
        <v>-64417244000</v>
      </c>
      <c r="Z57" s="5">
        <v>-136149378000</v>
      </c>
    </row>
    <row r="58" spans="2:26" ht="15.5" x14ac:dyDescent="0.35">
      <c r="C58" t="s">
        <v>74</v>
      </c>
      <c r="D58" s="5">
        <v>4502959000000</v>
      </c>
      <c r="E58" s="5">
        <v>507317000000</v>
      </c>
      <c r="F58" s="5">
        <v>1750110000000</v>
      </c>
      <c r="G58" s="5">
        <v>3446305000000</v>
      </c>
      <c r="I58" s="5">
        <v>8395030000000</v>
      </c>
      <c r="J58" s="5">
        <v>2997953000000</v>
      </c>
      <c r="K58" s="5">
        <v>2616894000000</v>
      </c>
      <c r="L58" s="5">
        <v>3941871000000</v>
      </c>
      <c r="M58" s="5">
        <v>2738144000000</v>
      </c>
      <c r="N58" s="5">
        <v>2032302844000</v>
      </c>
      <c r="O58" s="5">
        <v>955614818000</v>
      </c>
      <c r="P58" s="5">
        <v>1852728851000</v>
      </c>
      <c r="Q58" s="5">
        <v>600606318000</v>
      </c>
      <c r="R58" s="5">
        <v>8156059000</v>
      </c>
      <c r="S58" s="5">
        <v>-701438522000</v>
      </c>
      <c r="T58" s="5">
        <v>-179404982000</v>
      </c>
      <c r="U58" s="5">
        <v>421031692000</v>
      </c>
      <c r="V58" s="5">
        <v>895864056000</v>
      </c>
      <c r="W58" s="5">
        <v>2012878425000</v>
      </c>
      <c r="X58" s="5">
        <v>1946536043000</v>
      </c>
      <c r="Y58" s="5">
        <v>587521105000</v>
      </c>
      <c r="Z58" s="5">
        <v>1713296011000</v>
      </c>
    </row>
    <row r="59" spans="2:26" ht="15.5" x14ac:dyDescent="0.35">
      <c r="C59" t="s">
        <v>75</v>
      </c>
      <c r="D59" s="5">
        <v>279604000000</v>
      </c>
      <c r="E59" s="5">
        <v>793363000000</v>
      </c>
      <c r="F59" s="5">
        <v>163313000000</v>
      </c>
      <c r="G59" s="5">
        <v>151778000000</v>
      </c>
      <c r="I59" s="5">
        <v>1352097000000</v>
      </c>
      <c r="J59" s="5">
        <v>1615690000000</v>
      </c>
      <c r="K59" s="5">
        <v>1237587000000</v>
      </c>
      <c r="L59" s="5">
        <v>1272900000000</v>
      </c>
      <c r="M59" s="5">
        <v>305365000000</v>
      </c>
      <c r="N59" s="5">
        <v>-391124832000</v>
      </c>
      <c r="O59" s="5">
        <v>-268580765000</v>
      </c>
      <c r="P59" s="5">
        <v>-587227045000</v>
      </c>
      <c r="Q59" s="5">
        <v>-146209794000</v>
      </c>
      <c r="R59" s="5">
        <v>229135536000</v>
      </c>
      <c r="S59" s="5">
        <v>-967335402000</v>
      </c>
      <c r="T59" s="5">
        <v>-653729835000</v>
      </c>
      <c r="U59" s="5">
        <v>-553962092000</v>
      </c>
      <c r="V59" s="5">
        <v>2999631005000</v>
      </c>
      <c r="W59" s="5">
        <v>555902960000</v>
      </c>
      <c r="X59" s="5">
        <v>326087641000</v>
      </c>
      <c r="Y59" s="5">
        <v>196496637000</v>
      </c>
      <c r="Z59" s="5">
        <v>202457027000</v>
      </c>
    </row>
    <row r="60" spans="2:26" ht="15.5" x14ac:dyDescent="0.35">
      <c r="C60" t="s">
        <v>77</v>
      </c>
      <c r="D60" s="5">
        <v>205352000000</v>
      </c>
      <c r="E60" s="5">
        <v>42617000000</v>
      </c>
      <c r="F60" s="5">
        <v>-28310000000</v>
      </c>
      <c r="G60" s="5">
        <v>116810000000</v>
      </c>
      <c r="I60" s="5">
        <v>182650000000</v>
      </c>
      <c r="J60" s="5">
        <v>689710000000</v>
      </c>
      <c r="K60" s="5">
        <v>947017000000</v>
      </c>
      <c r="L60" s="5">
        <v>931107000000</v>
      </c>
      <c r="M60" s="5">
        <v>452624000000</v>
      </c>
      <c r="N60" s="5">
        <v>128509006000</v>
      </c>
      <c r="O60" s="5">
        <v>-88099410000</v>
      </c>
      <c r="P60" s="5">
        <v>-520228547000</v>
      </c>
      <c r="Q60" s="5">
        <v>-488268854000</v>
      </c>
      <c r="R60" s="5">
        <v>-281813472000</v>
      </c>
      <c r="S60" s="5">
        <v>-496574736000</v>
      </c>
      <c r="T60" s="5">
        <v>-370552808000</v>
      </c>
      <c r="U60" s="5">
        <v>-181009979000</v>
      </c>
      <c r="V60" s="5">
        <v>115099172000</v>
      </c>
      <c r="W60" s="5">
        <v>-26152056000</v>
      </c>
      <c r="X60" s="5">
        <v>-1756758000</v>
      </c>
      <c r="Y60" s="5">
        <v>-1771248000</v>
      </c>
      <c r="Z60" s="5">
        <v>29931362000</v>
      </c>
    </row>
    <row r="61" spans="2:26" ht="15.5" x14ac:dyDescent="0.35">
      <c r="C61" t="s">
        <v>76</v>
      </c>
      <c r="D61" s="5">
        <v>92358000000</v>
      </c>
      <c r="E61" s="5">
        <v>78961000000</v>
      </c>
      <c r="F61" s="5">
        <v>95884000000</v>
      </c>
      <c r="G61" s="5">
        <v>140599000000</v>
      </c>
      <c r="I61" s="5">
        <v>414393000000</v>
      </c>
      <c r="J61" s="5">
        <v>492333000000</v>
      </c>
      <c r="K61" s="5">
        <v>172182000000</v>
      </c>
      <c r="L61" s="5">
        <v>85299000000</v>
      </c>
      <c r="M61" s="5">
        <v>89738000000</v>
      </c>
      <c r="N61" s="5">
        <v>110379694000</v>
      </c>
      <c r="O61" s="5">
        <v>120446161000</v>
      </c>
      <c r="P61" s="5">
        <v>163547193000</v>
      </c>
      <c r="Q61" s="5">
        <v>259842315000</v>
      </c>
      <c r="R61" s="5">
        <v>343190135000</v>
      </c>
      <c r="S61" s="5">
        <v>73214891000</v>
      </c>
      <c r="T61" s="5">
        <v>68664556000</v>
      </c>
      <c r="U61" s="5">
        <v>85316381000</v>
      </c>
      <c r="V61" s="5">
        <v>166069157000</v>
      </c>
      <c r="W61" s="5">
        <v>74152626000</v>
      </c>
      <c r="X61" s="5">
        <v>58315889000</v>
      </c>
      <c r="Y61" s="5">
        <v>151196066000</v>
      </c>
      <c r="Z61" s="5">
        <v>178548866000</v>
      </c>
    </row>
    <row r="62" spans="2:26" ht="15.5" x14ac:dyDescent="0.35">
      <c r="C62" t="s">
        <v>326</v>
      </c>
      <c r="D62" s="5">
        <v>79730000000</v>
      </c>
      <c r="E62" s="5">
        <v>-18074000000</v>
      </c>
      <c r="F62" s="5">
        <v>153503000000</v>
      </c>
      <c r="G62" s="5">
        <v>-98063000000</v>
      </c>
      <c r="I62" s="5">
        <v>135519000000</v>
      </c>
      <c r="J62" s="5">
        <v>469427000000</v>
      </c>
      <c r="K62" s="5">
        <v>-221372000000</v>
      </c>
      <c r="L62" s="5">
        <v>563790000000</v>
      </c>
      <c r="M62" s="5">
        <v>60599000000</v>
      </c>
      <c r="N62" s="5">
        <v>-134409334000</v>
      </c>
      <c r="O62" s="5">
        <v>-235718069000</v>
      </c>
      <c r="V62" s="5">
        <v>176306896000</v>
      </c>
      <c r="W62" s="5">
        <v>-64560639000</v>
      </c>
      <c r="X62" s="5">
        <v>-122740175000</v>
      </c>
      <c r="Y62" s="5">
        <v>-287086019000</v>
      </c>
      <c r="Z62" s="5">
        <v>-217635384000</v>
      </c>
    </row>
    <row r="63" spans="2:26" ht="15.5" x14ac:dyDescent="0.35">
      <c r="C63" t="s">
        <v>25</v>
      </c>
      <c r="D63" s="5">
        <v>-107769000000</v>
      </c>
      <c r="E63" s="5">
        <v>-63425000000</v>
      </c>
      <c r="F63" s="5">
        <v>-63216000000</v>
      </c>
      <c r="G63" s="5">
        <v>-17465000000</v>
      </c>
      <c r="I63" s="5">
        <v>-167100000000</v>
      </c>
      <c r="J63" s="5">
        <v>-237136000000</v>
      </c>
      <c r="K63" s="5">
        <v>-215144000000</v>
      </c>
      <c r="L63" s="5">
        <v>-381088000000</v>
      </c>
      <c r="M63" s="5">
        <v>-359094000000</v>
      </c>
      <c r="N63" s="5">
        <v>-565451837000</v>
      </c>
      <c r="O63" s="5">
        <v>-233360576000</v>
      </c>
      <c r="P63" s="5">
        <v>-554331857000</v>
      </c>
      <c r="Q63" s="5">
        <v>-607685684000</v>
      </c>
      <c r="R63" s="5">
        <v>-319273938000</v>
      </c>
      <c r="S63" s="5">
        <v>-246021355000</v>
      </c>
      <c r="T63" s="5">
        <v>-126552132000</v>
      </c>
      <c r="U63" s="5">
        <v>-60660045000</v>
      </c>
      <c r="V63" s="5">
        <v>-234500820000</v>
      </c>
      <c r="W63" s="5">
        <v>-22723138000</v>
      </c>
      <c r="X63" s="5">
        <v>-12651557000</v>
      </c>
      <c r="Y63" s="5">
        <v>-47049683000</v>
      </c>
      <c r="Z63" s="5">
        <v>-50346415000</v>
      </c>
    </row>
    <row r="64" spans="2:26" ht="15.5" x14ac:dyDescent="0.35">
      <c r="C64" t="s">
        <v>73</v>
      </c>
      <c r="D64" s="5">
        <v>257329000000</v>
      </c>
      <c r="E64" s="5">
        <v>73953000000</v>
      </c>
      <c r="F64" s="5">
        <v>190527000000</v>
      </c>
      <c r="G64" s="5">
        <v>254838000000</v>
      </c>
      <c r="I64" s="5">
        <v>711581000000</v>
      </c>
      <c r="J64" s="5">
        <v>205008000000</v>
      </c>
      <c r="K64" s="5">
        <v>2000000</v>
      </c>
      <c r="L64" s="5">
        <v>-1000000</v>
      </c>
      <c r="M64" s="5">
        <v>-3000000</v>
      </c>
      <c r="N64" s="5">
        <v>890000</v>
      </c>
      <c r="O64" s="5">
        <v>884000</v>
      </c>
      <c r="P64" s="5">
        <v>1563000</v>
      </c>
      <c r="Q64" s="5">
        <v>-3513000</v>
      </c>
      <c r="R64" s="5">
        <v>-4137000</v>
      </c>
      <c r="S64" s="5">
        <v>-1101000</v>
      </c>
      <c r="T64" s="5">
        <v>544000</v>
      </c>
      <c r="U64" s="5">
        <v>3254000</v>
      </c>
      <c r="V64" s="5">
        <v>749000</v>
      </c>
      <c r="W64" s="5">
        <v>2449000</v>
      </c>
    </row>
    <row r="65" spans="2:26" ht="15.5" x14ac:dyDescent="0.35">
      <c r="C65" t="s">
        <v>78</v>
      </c>
      <c r="D65" s="5">
        <v>279604000000</v>
      </c>
      <c r="E65" s="5">
        <v>793363000000</v>
      </c>
      <c r="F65" s="5">
        <v>163313000000</v>
      </c>
      <c r="G65" s="5">
        <v>151778000000</v>
      </c>
      <c r="I65" s="5">
        <v>1352097000000</v>
      </c>
      <c r="J65" s="5">
        <v>1615690000000</v>
      </c>
      <c r="K65" s="5">
        <v>1237587000000</v>
      </c>
      <c r="L65" s="5">
        <v>1272900000000</v>
      </c>
      <c r="M65" s="5">
        <v>305365000000</v>
      </c>
      <c r="N65" s="5">
        <v>-391124832000</v>
      </c>
      <c r="O65" s="5">
        <v>-268580765000</v>
      </c>
      <c r="P65" s="5">
        <v>-587227045000</v>
      </c>
      <c r="Q65" s="5">
        <v>-146209794000</v>
      </c>
      <c r="R65" s="5">
        <v>229135536000</v>
      </c>
      <c r="S65" s="5">
        <v>-967335402000</v>
      </c>
      <c r="T65" s="5">
        <v>-653729835000</v>
      </c>
      <c r="U65" s="5">
        <v>-553962092000</v>
      </c>
      <c r="V65" s="5">
        <v>2999631005000</v>
      </c>
      <c r="W65" s="5">
        <v>555902960000</v>
      </c>
      <c r="X65" s="5">
        <v>326087641000</v>
      </c>
      <c r="Y65" s="5">
        <v>196496637000</v>
      </c>
      <c r="Z65" s="5">
        <v>202457027000</v>
      </c>
    </row>
    <row r="66" spans="2:26" ht="15.5" x14ac:dyDescent="0.35">
      <c r="C66" t="s">
        <v>27</v>
      </c>
      <c r="D66" s="5">
        <v>4782563000000</v>
      </c>
      <c r="E66" s="5">
        <v>1300680000000</v>
      </c>
      <c r="F66" s="5">
        <v>1913423000000</v>
      </c>
      <c r="G66" s="5">
        <v>3598083000000</v>
      </c>
      <c r="I66" s="5">
        <v>9747127000000</v>
      </c>
      <c r="J66" s="5">
        <v>4613643000000</v>
      </c>
      <c r="K66" s="5">
        <v>3854481000000</v>
      </c>
      <c r="L66" s="5">
        <v>5214771000000</v>
      </c>
      <c r="M66" s="5">
        <v>3043509000000</v>
      </c>
      <c r="N66" s="5">
        <v>1641178012000</v>
      </c>
      <c r="O66" s="5">
        <v>687034053000</v>
      </c>
      <c r="P66" s="5">
        <v>1265501806000</v>
      </c>
      <c r="Q66" s="5">
        <v>454396524000</v>
      </c>
      <c r="R66" s="5">
        <v>237291595000</v>
      </c>
      <c r="S66" s="5">
        <v>-1668773924000</v>
      </c>
      <c r="T66" s="5">
        <v>-833134817000</v>
      </c>
      <c r="U66" s="5">
        <v>-132930400000</v>
      </c>
      <c r="V66" s="5">
        <v>3895495061000</v>
      </c>
      <c r="W66" s="5">
        <v>2568781385000</v>
      </c>
      <c r="X66" s="5">
        <v>2272623684000</v>
      </c>
      <c r="Y66" s="5">
        <v>784017742000</v>
      </c>
      <c r="Z66" s="5">
        <v>1915753038000</v>
      </c>
    </row>
    <row r="67" spans="2:26" ht="15.5" x14ac:dyDescent="0.35">
      <c r="C67" t="s">
        <v>26</v>
      </c>
      <c r="D67" s="5">
        <v>-1118452000000</v>
      </c>
      <c r="E67" s="5">
        <v>7528000000</v>
      </c>
      <c r="F67" s="5">
        <v>-444687000000</v>
      </c>
      <c r="G67" s="5">
        <v>-778063000000</v>
      </c>
      <c r="I67" s="5">
        <v>-1826712000000</v>
      </c>
      <c r="J67" s="5">
        <v>-761425000000</v>
      </c>
      <c r="K67" s="5">
        <v>-776833000000</v>
      </c>
      <c r="L67" s="5">
        <v>-1393807000000</v>
      </c>
      <c r="M67" s="5">
        <v>-1181769000000</v>
      </c>
      <c r="N67" s="5">
        <v>-491824319000</v>
      </c>
      <c r="O67" s="5">
        <v>-493182022000</v>
      </c>
      <c r="P67" s="5">
        <v>-391075213000</v>
      </c>
      <c r="Q67" s="5">
        <v>-317893255000</v>
      </c>
      <c r="R67" s="5">
        <v>-172485407000</v>
      </c>
      <c r="S67" s="5">
        <v>227921028000</v>
      </c>
      <c r="T67" s="5">
        <v>57848528000</v>
      </c>
      <c r="U67" s="5">
        <v>542877769000</v>
      </c>
      <c r="V67" s="5">
        <v>-902379330000</v>
      </c>
      <c r="W67" s="5">
        <v>-640889387000</v>
      </c>
      <c r="X67" s="5">
        <v>-597699273000</v>
      </c>
      <c r="Y67" s="5">
        <v>-188786842000</v>
      </c>
      <c r="Z67" s="5">
        <v>-546711187000</v>
      </c>
    </row>
    <row r="68" spans="2:26" ht="15.5" x14ac:dyDescent="0.35">
      <c r="C68" t="s">
        <v>327</v>
      </c>
      <c r="D68" s="5">
        <v>3664111000000</v>
      </c>
      <c r="E68" s="5">
        <v>1308208000000</v>
      </c>
      <c r="F68" s="5">
        <v>1468736000000</v>
      </c>
      <c r="G68" s="5">
        <v>2820020000000</v>
      </c>
      <c r="I68" s="5">
        <v>7920415000000</v>
      </c>
      <c r="J68" s="5">
        <v>3852218000000</v>
      </c>
      <c r="K68" s="5">
        <v>3077648000000</v>
      </c>
      <c r="L68" s="5">
        <v>3820964000000</v>
      </c>
      <c r="M68" s="5">
        <v>1861740000000</v>
      </c>
      <c r="N68" s="5">
        <v>1149353693000</v>
      </c>
      <c r="O68" s="5">
        <v>193852031000</v>
      </c>
      <c r="P68" s="5">
        <v>874426593000</v>
      </c>
      <c r="Q68" s="5">
        <v>136503269000</v>
      </c>
      <c r="R68" s="5">
        <v>64806188000</v>
      </c>
      <c r="S68" s="5">
        <v>-1440852896000</v>
      </c>
      <c r="T68" s="5">
        <v>-775286289000</v>
      </c>
      <c r="U68" s="5">
        <v>409947369000</v>
      </c>
      <c r="V68" s="5">
        <v>2993115731000</v>
      </c>
      <c r="W68" s="5">
        <v>1927891998000</v>
      </c>
      <c r="X68" s="5">
        <v>1674924411000</v>
      </c>
      <c r="Y68" s="5">
        <v>595230900000</v>
      </c>
      <c r="Z68" s="5">
        <v>1369041851000</v>
      </c>
    </row>
    <row r="69" spans="2:26" ht="15.5" x14ac:dyDescent="0.35">
      <c r="C69" t="s">
        <v>328</v>
      </c>
      <c r="X69" s="5">
        <v>8475581000</v>
      </c>
      <c r="Y69" s="5">
        <v>9076188000</v>
      </c>
      <c r="Z69" s="5">
        <v>-902686000</v>
      </c>
    </row>
    <row r="70" spans="2:26" ht="15.5" x14ac:dyDescent="0.35">
      <c r="C70" t="s">
        <v>79</v>
      </c>
      <c r="D70" s="5">
        <v>3664111000000</v>
      </c>
      <c r="E70" s="5">
        <v>1308208000000</v>
      </c>
      <c r="F70" s="5">
        <v>1468736000000</v>
      </c>
      <c r="G70" s="5">
        <v>2820020000000</v>
      </c>
      <c r="I70" s="5">
        <v>7920415000000</v>
      </c>
      <c r="J70" s="5">
        <v>3852218000000</v>
      </c>
      <c r="K70" s="5">
        <v>3077648000000</v>
      </c>
      <c r="L70" s="5">
        <v>3820964000000</v>
      </c>
      <c r="M70" s="5">
        <v>1861740000000</v>
      </c>
      <c r="N70" s="5">
        <v>1149353693000</v>
      </c>
      <c r="O70" s="5">
        <v>193852031000</v>
      </c>
      <c r="P70" s="5">
        <v>874426593000</v>
      </c>
      <c r="Q70" s="5">
        <v>136503269000</v>
      </c>
      <c r="R70" s="5">
        <v>64806188000</v>
      </c>
      <c r="S70" s="5">
        <v>-1440852896000</v>
      </c>
      <c r="T70" s="5">
        <v>-775286289000</v>
      </c>
      <c r="U70" s="5">
        <v>409947369000</v>
      </c>
      <c r="V70" s="5">
        <v>2993115731000</v>
      </c>
      <c r="W70" s="5">
        <v>1927891998000</v>
      </c>
      <c r="X70" s="5">
        <v>1683399992000</v>
      </c>
      <c r="Y70" s="5">
        <v>604307088000</v>
      </c>
      <c r="Z70" s="5">
        <v>1368139165000</v>
      </c>
    </row>
    <row r="71" spans="2:26" ht="15.5" x14ac:dyDescent="0.35">
      <c r="C71" t="s">
        <v>80</v>
      </c>
      <c r="D71" s="5">
        <v>142014000000</v>
      </c>
      <c r="E71" s="5">
        <v>246056000000</v>
      </c>
      <c r="F71" s="5">
        <v>21683000000</v>
      </c>
      <c r="G71" s="5">
        <v>-89769000000</v>
      </c>
      <c r="I71" s="5">
        <v>278471000000</v>
      </c>
      <c r="J71" s="5">
        <v>245354000000</v>
      </c>
      <c r="K71" s="5">
        <v>2753000000</v>
      </c>
      <c r="L71" s="5">
        <v>-15131000000</v>
      </c>
      <c r="M71" s="5">
        <v>338182000000</v>
      </c>
      <c r="N71" s="5">
        <v>-175475942000</v>
      </c>
      <c r="O71" s="5">
        <v>-202750386000</v>
      </c>
      <c r="P71" s="5">
        <v>422177987000</v>
      </c>
      <c r="Q71" s="5">
        <v>-54895325000</v>
      </c>
      <c r="R71" s="5">
        <v>27270423000</v>
      </c>
      <c r="S71" s="5">
        <v>2353408947000</v>
      </c>
      <c r="T71" s="5">
        <v>107245000</v>
      </c>
      <c r="U71" s="5">
        <v>191354000</v>
      </c>
      <c r="V71" s="5">
        <v>-4091142000</v>
      </c>
      <c r="W71" s="5">
        <v>-3152584000</v>
      </c>
    </row>
    <row r="72" spans="2:26" ht="15.5" x14ac:dyDescent="0.35">
      <c r="C72" t="s">
        <v>81</v>
      </c>
      <c r="D72" s="5">
        <v>3806125000000</v>
      </c>
      <c r="E72" s="5">
        <v>1554264000000</v>
      </c>
      <c r="F72" s="5">
        <v>1490419000000</v>
      </c>
      <c r="G72" s="5">
        <v>2730251000000</v>
      </c>
      <c r="I72" s="5">
        <v>8198886000000</v>
      </c>
      <c r="J72" s="5">
        <v>4097572000000</v>
      </c>
      <c r="K72" s="5">
        <v>3080401000000</v>
      </c>
      <c r="L72" s="5">
        <v>3805833000000</v>
      </c>
      <c r="M72" s="5">
        <v>2199922000000</v>
      </c>
      <c r="N72" s="5">
        <v>973877751000</v>
      </c>
      <c r="O72" s="5">
        <v>-8898355000</v>
      </c>
      <c r="P72" s="5">
        <v>1296604580000</v>
      </c>
      <c r="Q72" s="5">
        <v>81607944000</v>
      </c>
      <c r="R72" s="5">
        <v>92076611000</v>
      </c>
      <c r="S72" s="5">
        <v>912556051000</v>
      </c>
      <c r="T72" s="5">
        <v>-775179044000</v>
      </c>
      <c r="U72" s="5">
        <v>410138723000</v>
      </c>
      <c r="V72" s="5">
        <v>2989024589000</v>
      </c>
      <c r="W72" s="5">
        <v>1924739414000</v>
      </c>
    </row>
    <row r="73" spans="2:26" ht="15.5" x14ac:dyDescent="0.35">
      <c r="C73" t="s">
        <v>82</v>
      </c>
      <c r="D73" s="5">
        <v>3664111000000</v>
      </c>
      <c r="E73" s="5">
        <v>1308208000000</v>
      </c>
      <c r="F73" s="5">
        <v>1468736000000</v>
      </c>
      <c r="G73" s="5">
        <v>2820020000000</v>
      </c>
      <c r="I73" s="5">
        <v>7920415000000</v>
      </c>
      <c r="J73" s="5">
        <v>3852218000000</v>
      </c>
      <c r="K73" s="5">
        <v>3077648000000</v>
      </c>
      <c r="L73" s="5">
        <v>3820964000000</v>
      </c>
      <c r="M73" s="5">
        <v>1861740000000</v>
      </c>
      <c r="N73" s="5">
        <v>1149353693000</v>
      </c>
      <c r="O73" s="5">
        <v>193852031000</v>
      </c>
      <c r="P73" s="5">
        <v>874426593000</v>
      </c>
      <c r="Q73" s="5">
        <v>136503269000</v>
      </c>
      <c r="R73" s="5">
        <v>64806188000</v>
      </c>
      <c r="S73" s="5">
        <v>-1440852896000</v>
      </c>
      <c r="T73" s="5">
        <v>-775286289000</v>
      </c>
      <c r="U73" s="5">
        <v>409947369000</v>
      </c>
      <c r="V73" s="5">
        <v>2993115731000</v>
      </c>
      <c r="W73" s="5">
        <v>1927891998000</v>
      </c>
      <c r="X73" s="5">
        <v>1683399992000</v>
      </c>
      <c r="Y73" s="5">
        <v>604307088000</v>
      </c>
      <c r="Z73" s="5">
        <v>1368139165000</v>
      </c>
    </row>
    <row r="74" spans="2:26" ht="15.5" x14ac:dyDescent="0.35">
      <c r="C74" t="s">
        <v>6</v>
      </c>
      <c r="D74" s="5">
        <v>3548796000000</v>
      </c>
      <c r="E74" s="5">
        <v>1480311000000</v>
      </c>
      <c r="F74" s="5">
        <v>1299892000000</v>
      </c>
      <c r="G74" s="5">
        <v>2475413000000</v>
      </c>
      <c r="I74" s="5">
        <v>7487305000000</v>
      </c>
      <c r="J74" s="5">
        <v>3892564000000</v>
      </c>
      <c r="K74" s="5">
        <v>3080399000000</v>
      </c>
      <c r="L74" s="5">
        <v>3805834000000</v>
      </c>
      <c r="M74" s="5">
        <v>2199925000000</v>
      </c>
      <c r="N74" s="5">
        <v>973876861000</v>
      </c>
      <c r="O74" s="5">
        <v>-8899239000</v>
      </c>
      <c r="P74" s="5">
        <v>1296603017000</v>
      </c>
      <c r="Q74" s="5">
        <v>81611457000</v>
      </c>
      <c r="R74" s="5">
        <v>92080748000</v>
      </c>
      <c r="S74" s="5">
        <v>912557152000</v>
      </c>
      <c r="T74" s="5">
        <v>-775179588000</v>
      </c>
      <c r="U74" s="5">
        <v>410135469000</v>
      </c>
      <c r="V74" s="5">
        <v>2989023840000</v>
      </c>
      <c r="W74" s="5">
        <v>1924736965000</v>
      </c>
    </row>
    <row r="75" spans="2:26" ht="15.5" x14ac:dyDescent="0.35">
      <c r="C75" t="s">
        <v>83</v>
      </c>
      <c r="D75" s="5">
        <v>3664111000000</v>
      </c>
      <c r="E75" s="5">
        <v>1308208000000</v>
      </c>
      <c r="F75" s="5">
        <v>1468736000000</v>
      </c>
      <c r="G75" s="5">
        <v>2820020000000</v>
      </c>
      <c r="I75" s="5">
        <v>7920415000000</v>
      </c>
      <c r="J75" s="5">
        <v>3852218000000</v>
      </c>
      <c r="K75" s="5">
        <v>3077648000000</v>
      </c>
      <c r="L75" s="5">
        <v>3820964000000</v>
      </c>
      <c r="M75" s="5">
        <v>1861740000000</v>
      </c>
      <c r="N75" s="5">
        <v>1149353693000</v>
      </c>
      <c r="O75" s="5">
        <v>193852031000</v>
      </c>
      <c r="P75" s="5">
        <v>874426593000</v>
      </c>
      <c r="Q75" s="5">
        <v>136503269000</v>
      </c>
      <c r="R75" s="5">
        <v>64806188000</v>
      </c>
      <c r="S75" s="5">
        <v>-1440852896000</v>
      </c>
      <c r="T75" s="5">
        <v>-775286289000</v>
      </c>
      <c r="U75" s="5">
        <v>409947369000</v>
      </c>
      <c r="V75" s="5">
        <v>2993115731000</v>
      </c>
      <c r="W75" s="5">
        <v>1927891998000</v>
      </c>
      <c r="X75" s="5">
        <v>1683399992000</v>
      </c>
      <c r="Y75" s="5">
        <v>604307088000</v>
      </c>
      <c r="Z75" s="5">
        <v>1368139165000</v>
      </c>
    </row>
    <row r="76" spans="2:26" ht="15.5" x14ac:dyDescent="0.35">
      <c r="C76" t="s">
        <v>84</v>
      </c>
      <c r="D76" s="5">
        <v>3806125000000</v>
      </c>
      <c r="E76" s="5">
        <v>1554264000000</v>
      </c>
      <c r="F76" s="5">
        <v>1490419000000</v>
      </c>
      <c r="G76" s="5">
        <v>2730251000000</v>
      </c>
      <c r="I76" s="5">
        <v>8198886000000</v>
      </c>
      <c r="J76" s="5">
        <v>4097572000000</v>
      </c>
      <c r="K76" s="5">
        <v>3080401000000</v>
      </c>
      <c r="L76" s="5">
        <v>3805833000000</v>
      </c>
      <c r="M76" s="5">
        <v>2199922000000</v>
      </c>
      <c r="N76" s="5">
        <v>973877751000</v>
      </c>
      <c r="O76" s="5">
        <v>-8898355000</v>
      </c>
      <c r="P76" s="5">
        <v>1296604580000</v>
      </c>
      <c r="Q76" s="5">
        <v>81607944000</v>
      </c>
      <c r="R76" s="5">
        <v>92076611000</v>
      </c>
      <c r="S76" s="5">
        <v>912556051000</v>
      </c>
      <c r="T76" s="5">
        <v>-775179044000</v>
      </c>
      <c r="U76" s="5">
        <v>410138723000</v>
      </c>
      <c r="V76" s="5">
        <v>2989024589000</v>
      </c>
      <c r="W76" s="5">
        <v>1924739414000</v>
      </c>
    </row>
    <row r="77" spans="2:26" ht="15.5" x14ac:dyDescent="0.35">
      <c r="C77" t="s">
        <v>85</v>
      </c>
      <c r="D77" s="5">
        <v>3806125000000</v>
      </c>
      <c r="E77" s="5">
        <v>1554264000000</v>
      </c>
      <c r="F77" s="5">
        <v>1490419000000</v>
      </c>
      <c r="G77" s="5">
        <v>2730251000000</v>
      </c>
      <c r="I77" s="5">
        <v>8198886000000</v>
      </c>
      <c r="J77" s="5">
        <v>4097572000000</v>
      </c>
      <c r="K77" s="5">
        <v>3080401000000</v>
      </c>
      <c r="L77" s="5">
        <v>3805833000000</v>
      </c>
      <c r="M77" s="5">
        <v>2199922000000</v>
      </c>
      <c r="N77" s="5">
        <v>973877751000</v>
      </c>
      <c r="O77" s="5">
        <v>-8898355000</v>
      </c>
      <c r="P77" s="5">
        <v>1296604580000</v>
      </c>
      <c r="Q77" s="5">
        <v>81607944000</v>
      </c>
      <c r="R77" s="5">
        <v>92076611000</v>
      </c>
      <c r="S77" s="5">
        <v>912556051000</v>
      </c>
      <c r="T77" s="5">
        <v>-775179044000</v>
      </c>
      <c r="U77" s="5">
        <v>410138723000</v>
      </c>
      <c r="V77" s="5">
        <v>2989024589000</v>
      </c>
      <c r="W77" s="5">
        <v>1924739414000</v>
      </c>
    </row>
    <row r="79" spans="2:26" ht="15.5" x14ac:dyDescent="0.35">
      <c r="B79" t="s">
        <v>86</v>
      </c>
      <c r="C79" t="s">
        <v>87</v>
      </c>
    </row>
    <row r="80" spans="2:26" ht="15.5" x14ac:dyDescent="0.35">
      <c r="C80" t="s">
        <v>88</v>
      </c>
    </row>
    <row r="81" spans="3:26" ht="15.5" x14ac:dyDescent="0.35">
      <c r="C81" t="s">
        <v>18</v>
      </c>
      <c r="D81" s="5">
        <v>9038508000000</v>
      </c>
      <c r="E81" s="5">
        <v>8433610000000</v>
      </c>
      <c r="F81" s="5">
        <v>9261871000000</v>
      </c>
      <c r="G81" s="5">
        <v>10513725000000</v>
      </c>
      <c r="I81" s="5">
        <v>8433610000000</v>
      </c>
      <c r="J81" s="5">
        <v>4751621000000</v>
      </c>
      <c r="K81" s="5">
        <v>9208814000000</v>
      </c>
      <c r="L81" s="5">
        <v>4476491000000</v>
      </c>
      <c r="M81" s="5">
        <v>5089160000000</v>
      </c>
      <c r="N81" s="5">
        <v>3984387647000</v>
      </c>
      <c r="O81" s="5">
        <v>3636243080000</v>
      </c>
      <c r="P81" s="5">
        <v>4299068085000</v>
      </c>
      <c r="Q81" s="5">
        <v>5550677020000</v>
      </c>
      <c r="R81" s="5">
        <v>7623385438000</v>
      </c>
      <c r="S81" s="5">
        <v>8086634372000</v>
      </c>
      <c r="T81" s="5">
        <v>2618910283000</v>
      </c>
      <c r="U81" s="5">
        <v>2792737848000</v>
      </c>
      <c r="V81" s="5">
        <v>3868574769000</v>
      </c>
      <c r="W81" s="5">
        <v>5639678574000</v>
      </c>
      <c r="X81" s="5">
        <v>4308242737000</v>
      </c>
      <c r="Y81" s="5">
        <v>2773582727000</v>
      </c>
      <c r="Z81" s="5">
        <v>3284218532000</v>
      </c>
    </row>
    <row r="82" spans="3:26" ht="15.5" x14ac:dyDescent="0.35">
      <c r="C82" t="s">
        <v>90</v>
      </c>
      <c r="D82" s="5">
        <v>3116720000000</v>
      </c>
      <c r="E82" s="5">
        <v>2327866000000</v>
      </c>
      <c r="F82" s="5">
        <v>1568489000000</v>
      </c>
      <c r="G82" s="5">
        <v>2047916000000</v>
      </c>
      <c r="I82" s="5">
        <v>2327866000000</v>
      </c>
      <c r="J82" s="5">
        <v>1148794000000</v>
      </c>
      <c r="K82" s="5">
        <v>1094271000000</v>
      </c>
      <c r="L82" s="5">
        <v>1832623000000</v>
      </c>
      <c r="M82" s="5">
        <v>1447676000000</v>
      </c>
      <c r="N82" s="5">
        <v>1344195664000</v>
      </c>
      <c r="O82" s="5">
        <v>1002334714000</v>
      </c>
      <c r="P82" s="5">
        <v>923895620000</v>
      </c>
      <c r="Q82" s="5">
        <v>971168156000</v>
      </c>
      <c r="R82" s="5">
        <v>834170879000</v>
      </c>
      <c r="S82" s="5">
        <v>448012221000</v>
      </c>
      <c r="T82" s="5">
        <v>1067620272000</v>
      </c>
      <c r="U82" s="5">
        <v>1152686688000</v>
      </c>
      <c r="V82" s="5">
        <v>1722426366000</v>
      </c>
      <c r="W82" s="5">
        <v>1247342620000</v>
      </c>
      <c r="X82" s="5">
        <v>1579883859000</v>
      </c>
      <c r="Y82" s="5">
        <v>818097073000</v>
      </c>
      <c r="Z82" s="5">
        <v>594950328000</v>
      </c>
    </row>
    <row r="83" spans="3:26" ht="15.5" x14ac:dyDescent="0.35">
      <c r="C83" t="s">
        <v>92</v>
      </c>
      <c r="O83" s="5">
        <v>642785413000</v>
      </c>
      <c r="P83" s="5">
        <v>429241388000</v>
      </c>
      <c r="Q83" s="5">
        <v>327219276000</v>
      </c>
      <c r="R83" s="5">
        <v>419910100000</v>
      </c>
      <c r="S83" s="5">
        <v>547034314000</v>
      </c>
      <c r="T83" s="5">
        <v>448654416000</v>
      </c>
      <c r="U83" s="5">
        <v>471822225000</v>
      </c>
      <c r="V83" s="5">
        <v>378228386000</v>
      </c>
      <c r="W83" s="5">
        <v>255244948000</v>
      </c>
      <c r="X83" s="5">
        <v>247912405000</v>
      </c>
      <c r="Y83" s="5">
        <v>155577968000</v>
      </c>
      <c r="Z83" s="5">
        <v>128562808000</v>
      </c>
    </row>
    <row r="84" spans="3:26" ht="15.5" x14ac:dyDescent="0.35">
      <c r="C84" t="s">
        <v>91</v>
      </c>
      <c r="O84" s="5">
        <v>96958283000</v>
      </c>
      <c r="P84" s="5">
        <v>728749573000</v>
      </c>
      <c r="Q84" s="5">
        <v>479165925000</v>
      </c>
      <c r="R84" s="5">
        <v>165815841000</v>
      </c>
      <c r="S84" s="5">
        <v>177060544000</v>
      </c>
      <c r="T84" s="5">
        <v>238821839000</v>
      </c>
      <c r="U84" s="5">
        <v>75257785000</v>
      </c>
      <c r="V84" s="5">
        <v>38725066000</v>
      </c>
      <c r="W84" s="5">
        <v>2349614000</v>
      </c>
      <c r="X84" s="5">
        <v>16744722000</v>
      </c>
      <c r="Y84" s="5">
        <v>2932320000</v>
      </c>
      <c r="Z84" s="5">
        <v>1968830000</v>
      </c>
    </row>
    <row r="85" spans="3:26" ht="15.5" x14ac:dyDescent="0.35">
      <c r="C85" t="s">
        <v>93</v>
      </c>
      <c r="D85" s="5">
        <v>3116720000000</v>
      </c>
      <c r="E85" s="5">
        <v>2327866000000</v>
      </c>
      <c r="F85" s="5">
        <v>1568489000000</v>
      </c>
      <c r="G85" s="5">
        <v>2047916000000</v>
      </c>
      <c r="I85" s="5">
        <v>2327866000000</v>
      </c>
      <c r="J85" s="5">
        <v>1148794000000</v>
      </c>
      <c r="K85" s="5">
        <v>1094271000000</v>
      </c>
      <c r="L85" s="5">
        <v>1832623000000</v>
      </c>
      <c r="M85" s="5">
        <v>1447676000000</v>
      </c>
      <c r="N85" s="5">
        <v>1344195664000</v>
      </c>
      <c r="O85" s="5">
        <v>1002334714000</v>
      </c>
      <c r="P85" s="5">
        <v>923895620000</v>
      </c>
      <c r="Q85" s="5">
        <v>971168156000</v>
      </c>
      <c r="R85" s="5">
        <v>834170879000</v>
      </c>
      <c r="S85" s="5">
        <v>448012221000</v>
      </c>
      <c r="T85" s="5">
        <v>1067620272000</v>
      </c>
      <c r="U85" s="5">
        <v>1152686688000</v>
      </c>
      <c r="V85" s="5">
        <v>1722426366000</v>
      </c>
      <c r="W85" s="5">
        <v>1247342620000</v>
      </c>
      <c r="X85" s="5">
        <v>1579883859000</v>
      </c>
      <c r="Y85" s="5">
        <v>818097073000</v>
      </c>
      <c r="Z85" s="5">
        <v>594950328000</v>
      </c>
    </row>
    <row r="86" spans="3:26" ht="15.5" x14ac:dyDescent="0.35">
      <c r="C86" t="s">
        <v>95</v>
      </c>
      <c r="D86" s="5">
        <v>248321000000</v>
      </c>
      <c r="E86" s="5">
        <v>109352000000</v>
      </c>
      <c r="F86" s="5">
        <v>244829000000</v>
      </c>
      <c r="G86" s="5">
        <v>243084000000</v>
      </c>
      <c r="I86" s="5">
        <v>109352000000</v>
      </c>
      <c r="J86" s="5">
        <v>239592000000</v>
      </c>
      <c r="P86" s="5">
        <v>455070658000</v>
      </c>
      <c r="Q86" s="5">
        <v>1810907131000</v>
      </c>
      <c r="R86" s="5">
        <v>514361416000</v>
      </c>
      <c r="S86" s="5">
        <v>481963825000</v>
      </c>
      <c r="T86" s="5">
        <v>37027697000</v>
      </c>
      <c r="U86" s="5">
        <v>33732183000</v>
      </c>
    </row>
    <row r="87" spans="3:26" ht="15.5" x14ac:dyDescent="0.35">
      <c r="C87" t="s">
        <v>96</v>
      </c>
      <c r="D87" s="5">
        <v>248321000000</v>
      </c>
      <c r="E87" s="5">
        <v>109352000000</v>
      </c>
      <c r="F87" s="5">
        <v>244829000000</v>
      </c>
      <c r="G87" s="5">
        <v>243084000000</v>
      </c>
      <c r="I87" s="5">
        <v>109352000000</v>
      </c>
      <c r="J87" s="5">
        <v>239592000000</v>
      </c>
      <c r="P87" s="5">
        <v>455070658000</v>
      </c>
      <c r="Q87" s="5">
        <v>1810907131000</v>
      </c>
      <c r="R87" s="5">
        <v>514361416000</v>
      </c>
      <c r="S87" s="5">
        <v>481963825000</v>
      </c>
      <c r="T87" s="5">
        <v>37027697000</v>
      </c>
      <c r="U87" s="5">
        <v>33732183000</v>
      </c>
    </row>
    <row r="88" spans="3:26" ht="15.5" x14ac:dyDescent="0.35">
      <c r="C88" t="s">
        <v>369</v>
      </c>
    </row>
    <row r="89" spans="3:26" ht="15.5" x14ac:dyDescent="0.35">
      <c r="C89" t="s">
        <v>94</v>
      </c>
      <c r="D89" s="5">
        <v>16848545000000</v>
      </c>
      <c r="E89" s="5">
        <v>7731354000000</v>
      </c>
      <c r="F89" s="5">
        <v>5978877000000</v>
      </c>
      <c r="G89" s="5">
        <v>6592627000000</v>
      </c>
      <c r="I89" s="5">
        <v>7731354000000</v>
      </c>
      <c r="J89" s="5">
        <v>6039652000000</v>
      </c>
      <c r="K89" s="5">
        <v>3470153000000</v>
      </c>
      <c r="L89" s="5">
        <v>2906069000000</v>
      </c>
      <c r="M89" s="5">
        <v>3107312000000</v>
      </c>
      <c r="N89" s="5">
        <v>2626022280000</v>
      </c>
      <c r="O89" s="5">
        <v>1796301441000</v>
      </c>
      <c r="P89" s="5">
        <v>2027731541000</v>
      </c>
      <c r="Q89" s="5">
        <v>1257785082000</v>
      </c>
      <c r="R89" s="5">
        <v>1388415530000</v>
      </c>
      <c r="S89" s="5">
        <v>1752584557000</v>
      </c>
      <c r="T89" s="5">
        <v>1761888223000</v>
      </c>
      <c r="U89" s="5">
        <v>2445933902000</v>
      </c>
      <c r="V89" s="5">
        <v>1449967933000</v>
      </c>
      <c r="W89" s="5">
        <v>1687897283000</v>
      </c>
      <c r="X89" s="5">
        <v>1229283112000</v>
      </c>
      <c r="Y89" s="5">
        <v>1170505411000</v>
      </c>
      <c r="Z89" s="5">
        <v>1391471720000</v>
      </c>
    </row>
    <row r="90" spans="3:26" ht="15.5" x14ac:dyDescent="0.35">
      <c r="C90" t="s">
        <v>73</v>
      </c>
      <c r="D90" s="5">
        <v>4560002000000</v>
      </c>
      <c r="E90" s="5">
        <v>4417988000000</v>
      </c>
      <c r="F90" s="5">
        <v>4408959000000</v>
      </c>
      <c r="G90" s="5">
        <v>4384363000000</v>
      </c>
      <c r="I90" s="5">
        <v>4417988000000</v>
      </c>
      <c r="J90" s="5">
        <v>4373203000000</v>
      </c>
      <c r="K90" s="5">
        <v>4154409000000</v>
      </c>
      <c r="L90" s="5">
        <v>4231622000000</v>
      </c>
      <c r="M90" s="5">
        <v>4227664000000</v>
      </c>
      <c r="N90" s="5">
        <v>3915454638000</v>
      </c>
      <c r="O90" s="5">
        <v>3882713696000</v>
      </c>
      <c r="P90" s="5">
        <v>2810123112000</v>
      </c>
      <c r="Q90" s="5">
        <v>2386755460000</v>
      </c>
      <c r="R90" s="5">
        <v>2385616340000</v>
      </c>
      <c r="S90" s="5">
        <v>2385736471000</v>
      </c>
      <c r="T90" s="5">
        <v>55102023000</v>
      </c>
      <c r="U90" s="5">
        <v>51617267000</v>
      </c>
      <c r="V90" s="5">
        <v>121157392000</v>
      </c>
      <c r="W90" s="5">
        <v>115190902000</v>
      </c>
      <c r="X90" s="5">
        <v>114898262000</v>
      </c>
      <c r="Y90" s="5">
        <v>101244400000</v>
      </c>
      <c r="Z90" s="5">
        <v>51972066000</v>
      </c>
    </row>
    <row r="91" spans="3:26" ht="15.5" x14ac:dyDescent="0.35">
      <c r="C91" t="s">
        <v>97</v>
      </c>
      <c r="D91" s="5">
        <v>33206503000000</v>
      </c>
      <c r="E91" s="5">
        <v>23021850000000</v>
      </c>
      <c r="F91" s="5">
        <v>19373128000000</v>
      </c>
      <c r="G91" s="5">
        <v>20959065000000</v>
      </c>
      <c r="I91" s="5">
        <v>23021850000000</v>
      </c>
      <c r="J91" s="5">
        <v>17991975000000</v>
      </c>
      <c r="K91" s="5">
        <v>20064546000000</v>
      </c>
      <c r="L91" s="5">
        <v>11694779000000</v>
      </c>
      <c r="M91" s="5">
        <v>11728143000000</v>
      </c>
      <c r="N91" s="5">
        <v>9150514439000</v>
      </c>
      <c r="O91" s="5">
        <v>7665239260000</v>
      </c>
      <c r="P91" s="5">
        <v>8498442636000</v>
      </c>
      <c r="Q91" s="5">
        <v>9001938755000</v>
      </c>
      <c r="R91" s="5">
        <v>10630221568000</v>
      </c>
      <c r="S91" s="5">
        <v>11252826560000</v>
      </c>
      <c r="T91" s="5">
        <v>6343109936000</v>
      </c>
      <c r="U91" s="5">
        <v>7080437173000</v>
      </c>
      <c r="V91" s="5">
        <v>7646851196000</v>
      </c>
      <c r="W91" s="5">
        <v>9108019774000</v>
      </c>
      <c r="X91" s="5">
        <v>7593630426000</v>
      </c>
      <c r="Y91" s="5">
        <v>5436847017000</v>
      </c>
      <c r="Z91" s="5">
        <v>5819531944000</v>
      </c>
    </row>
    <row r="92" spans="3:26" ht="15.5" x14ac:dyDescent="0.35">
      <c r="C92" t="s">
        <v>98</v>
      </c>
    </row>
    <row r="93" spans="3:26" ht="15.5" x14ac:dyDescent="0.35">
      <c r="C93" t="s">
        <v>370</v>
      </c>
      <c r="D93" s="5">
        <v>9242995000000</v>
      </c>
      <c r="E93" s="5">
        <v>8999142000000</v>
      </c>
      <c r="F93" s="5">
        <v>8740398000000</v>
      </c>
      <c r="G93" s="5">
        <v>5982098000000</v>
      </c>
      <c r="I93" s="5">
        <v>8999142000000</v>
      </c>
      <c r="J93" s="5">
        <v>5426133000000</v>
      </c>
      <c r="K93" s="5">
        <v>2568246000000</v>
      </c>
      <c r="L93" s="5">
        <v>2708056000000</v>
      </c>
      <c r="M93" s="5">
        <v>1770368000000</v>
      </c>
      <c r="N93" s="5">
        <v>1071954072000</v>
      </c>
      <c r="O93" s="5">
        <v>744529918000</v>
      </c>
      <c r="P93" s="5">
        <v>1097162918000</v>
      </c>
      <c r="Q93" s="5">
        <v>1690633406000</v>
      </c>
      <c r="R93" s="5">
        <v>2080115940000</v>
      </c>
      <c r="S93" s="5">
        <v>1992516049000</v>
      </c>
      <c r="T93" s="5">
        <v>2687171571000</v>
      </c>
      <c r="U93" s="5">
        <v>3582548750000</v>
      </c>
      <c r="V93" s="5">
        <v>3956042901000</v>
      </c>
      <c r="W93" s="5">
        <v>173259737000</v>
      </c>
    </row>
    <row r="94" spans="3:26" ht="15.5" x14ac:dyDescent="0.35">
      <c r="C94" t="s">
        <v>330</v>
      </c>
      <c r="Q94" s="5">
        <v>835350024000</v>
      </c>
      <c r="R94" s="5">
        <v>1136694848000</v>
      </c>
      <c r="S94" s="5">
        <v>1481635779000</v>
      </c>
      <c r="T94" s="5">
        <v>1438385425000</v>
      </c>
      <c r="U94" s="5">
        <v>1350639204000</v>
      </c>
      <c r="V94" s="5">
        <v>1154405032000</v>
      </c>
      <c r="W94" s="5">
        <v>1035900790000</v>
      </c>
    </row>
    <row r="95" spans="3:26" ht="15.5" x14ac:dyDescent="0.35">
      <c r="C95" t="s">
        <v>100</v>
      </c>
      <c r="D95" s="5">
        <v>14304935000000</v>
      </c>
      <c r="E95" s="5">
        <v>14418214000000</v>
      </c>
      <c r="F95" s="5">
        <v>15268785000000</v>
      </c>
      <c r="G95" s="5">
        <v>15374274000000</v>
      </c>
      <c r="I95" s="5">
        <v>14418214000000</v>
      </c>
      <c r="J95" s="5">
        <v>15644099000000</v>
      </c>
      <c r="K95" s="5">
        <v>16183257000000</v>
      </c>
      <c r="L95" s="5">
        <v>16471563000000</v>
      </c>
      <c r="M95" s="5">
        <v>16863748000000</v>
      </c>
      <c r="N95" s="5">
        <v>18248068325000</v>
      </c>
      <c r="O95" s="5">
        <v>18865691270000</v>
      </c>
      <c r="P95" s="5">
        <v>20128155732000</v>
      </c>
      <c r="Q95" s="5">
        <v>14092994799000</v>
      </c>
      <c r="R95" s="5">
        <v>12958946013000</v>
      </c>
      <c r="S95" s="5">
        <v>12267804244000</v>
      </c>
      <c r="T95" s="5">
        <v>8699660101000</v>
      </c>
      <c r="U95" s="5">
        <v>6700155560000</v>
      </c>
      <c r="V95" s="5">
        <v>4663449270000</v>
      </c>
      <c r="W95" s="5">
        <v>2980742742000</v>
      </c>
      <c r="X95" s="5">
        <v>2952396841000</v>
      </c>
      <c r="Y95" s="5">
        <v>2890601952000</v>
      </c>
      <c r="Z95" s="5">
        <v>2890477780000</v>
      </c>
    </row>
    <row r="96" spans="3:26" ht="15.5" x14ac:dyDescent="0.35">
      <c r="C96" t="s">
        <v>99</v>
      </c>
      <c r="D96" s="5">
        <v>852131000000</v>
      </c>
      <c r="E96" s="5">
        <v>865053000000</v>
      </c>
      <c r="F96" s="5">
        <v>523155000000</v>
      </c>
      <c r="G96" s="5">
        <v>540637000000</v>
      </c>
      <c r="I96" s="5">
        <v>865053000000</v>
      </c>
      <c r="J96" s="5">
        <v>578136000000</v>
      </c>
      <c r="K96" s="5">
        <v>616042000000</v>
      </c>
      <c r="L96" s="5">
        <v>719502000000</v>
      </c>
      <c r="M96" s="5">
        <v>680418000000</v>
      </c>
      <c r="N96" s="5">
        <v>717278245000</v>
      </c>
      <c r="O96" s="5">
        <v>752994987000</v>
      </c>
      <c r="P96" s="5">
        <v>868955970000</v>
      </c>
      <c r="Q96" s="5">
        <v>933832021000</v>
      </c>
      <c r="R96" s="5">
        <v>853515777000</v>
      </c>
      <c r="S96" s="5">
        <v>863973221000</v>
      </c>
      <c r="T96" s="5">
        <v>893941509000</v>
      </c>
      <c r="U96" s="5">
        <v>858785854000</v>
      </c>
      <c r="V96" s="5">
        <v>666238614000</v>
      </c>
    </row>
    <row r="97" spans="3:26" ht="15.5" x14ac:dyDescent="0.35">
      <c r="C97" t="s">
        <v>371</v>
      </c>
      <c r="D97" s="5">
        <v>1168103000000</v>
      </c>
      <c r="E97" s="5">
        <v>1146270000000</v>
      </c>
      <c r="F97" s="5">
        <v>1090516000000</v>
      </c>
      <c r="G97" s="5">
        <v>1045122000000</v>
      </c>
      <c r="I97" s="5">
        <v>1146270000000</v>
      </c>
      <c r="J97" s="5">
        <v>952224000000</v>
      </c>
      <c r="K97" s="5">
        <v>741468000000</v>
      </c>
      <c r="L97" s="5">
        <v>521179000000</v>
      </c>
      <c r="M97" s="5">
        <v>594141000000</v>
      </c>
      <c r="N97" s="5">
        <v>672919983000</v>
      </c>
      <c r="O97" s="5">
        <v>658740597000</v>
      </c>
      <c r="P97" s="5">
        <v>670169961000</v>
      </c>
      <c r="Q97" s="5">
        <v>665322451000</v>
      </c>
      <c r="R97" s="5">
        <v>799356725000</v>
      </c>
      <c r="S97" s="5">
        <v>743551056000</v>
      </c>
      <c r="T97" s="5">
        <v>687064468000</v>
      </c>
      <c r="U97" s="5">
        <v>709712614000</v>
      </c>
      <c r="V97" s="5">
        <v>754404102000</v>
      </c>
    </row>
    <row r="98" spans="3:26" ht="15.5" x14ac:dyDescent="0.35">
      <c r="C98" t="s">
        <v>372</v>
      </c>
      <c r="W98" s="5">
        <v>1142208576000</v>
      </c>
      <c r="X98" s="5">
        <v>913438233000</v>
      </c>
      <c r="Y98" s="5">
        <v>780712101000</v>
      </c>
      <c r="Z98" s="5">
        <v>622828357000</v>
      </c>
    </row>
    <row r="99" spans="3:26" ht="15.5" x14ac:dyDescent="0.35">
      <c r="C99" t="s">
        <v>102</v>
      </c>
      <c r="D99" s="5">
        <v>72282000000</v>
      </c>
      <c r="E99" s="5">
        <v>75331000000</v>
      </c>
      <c r="F99" s="5">
        <v>105220000000</v>
      </c>
      <c r="G99" s="5">
        <v>82274000000</v>
      </c>
      <c r="I99" s="5">
        <v>75331000000</v>
      </c>
      <c r="J99" s="5">
        <v>67231000000</v>
      </c>
      <c r="K99" s="5">
        <v>45534000000</v>
      </c>
      <c r="L99" s="5">
        <v>33144000000</v>
      </c>
      <c r="M99" s="5">
        <v>42121000000</v>
      </c>
      <c r="N99" s="5">
        <v>46926785000</v>
      </c>
      <c r="O99" s="5">
        <v>42992368000</v>
      </c>
    </row>
    <row r="100" spans="3:26" ht="15.5" x14ac:dyDescent="0.35">
      <c r="C100" t="s">
        <v>101</v>
      </c>
      <c r="D100" s="5">
        <v>68336000000</v>
      </c>
      <c r="E100" s="5">
        <v>68336000000</v>
      </c>
      <c r="F100" s="5">
        <v>68336000000</v>
      </c>
      <c r="G100" s="5">
        <v>68336000000</v>
      </c>
      <c r="I100" s="5">
        <v>68336000000</v>
      </c>
      <c r="J100" s="5">
        <v>68336000000</v>
      </c>
      <c r="K100" s="5">
        <v>68336000000</v>
      </c>
      <c r="L100" s="5">
        <v>68336000000</v>
      </c>
      <c r="M100" s="5">
        <v>68336000000</v>
      </c>
      <c r="N100" s="5">
        <v>68336044000</v>
      </c>
      <c r="O100" s="5">
        <v>68336044000</v>
      </c>
      <c r="P100" s="5">
        <v>101759427000</v>
      </c>
      <c r="Q100" s="5">
        <v>101759427000</v>
      </c>
      <c r="R100" s="5">
        <v>101759427000</v>
      </c>
      <c r="S100" s="5">
        <v>101759427000</v>
      </c>
      <c r="T100" s="5">
        <v>133651462000</v>
      </c>
      <c r="U100" s="5">
        <v>179941213000</v>
      </c>
      <c r="V100" s="5">
        <v>185373972000</v>
      </c>
      <c r="W100" s="5">
        <v>185373972000</v>
      </c>
      <c r="X100" s="5">
        <v>89766189000</v>
      </c>
      <c r="Y100" s="5">
        <v>80964126000</v>
      </c>
      <c r="Z100" s="5">
        <v>85360253000</v>
      </c>
    </row>
    <row r="101" spans="3:26" ht="15.5" x14ac:dyDescent="0.35">
      <c r="C101" t="s">
        <v>103</v>
      </c>
      <c r="D101" s="5">
        <v>835270000000</v>
      </c>
      <c r="E101" s="5">
        <v>957591000000</v>
      </c>
      <c r="F101" s="5">
        <v>469254000000</v>
      </c>
      <c r="G101" s="5">
        <v>424436000000</v>
      </c>
      <c r="I101" s="5">
        <v>957591000000</v>
      </c>
      <c r="J101" s="5">
        <v>430803000000</v>
      </c>
      <c r="K101" s="5">
        <v>183565000000</v>
      </c>
      <c r="L101" s="5">
        <v>159725000000</v>
      </c>
      <c r="M101" s="5">
        <v>111471000000</v>
      </c>
      <c r="N101" s="5">
        <v>173374046000</v>
      </c>
      <c r="O101" s="5">
        <v>129448529000</v>
      </c>
      <c r="P101" s="5">
        <v>220095687000</v>
      </c>
      <c r="Q101" s="5">
        <v>306609010000</v>
      </c>
      <c r="R101" s="5">
        <v>560641159000</v>
      </c>
      <c r="S101" s="5">
        <v>732082537000</v>
      </c>
      <c r="T101" s="5">
        <v>517099063000</v>
      </c>
      <c r="U101" s="5">
        <v>433034792000</v>
      </c>
      <c r="V101" s="5">
        <v>36211700000</v>
      </c>
      <c r="W101" s="5">
        <v>371457104000</v>
      </c>
      <c r="X101" s="5">
        <v>407752089000</v>
      </c>
      <c r="Y101" s="5">
        <v>348539106000</v>
      </c>
      <c r="Z101" s="5">
        <v>380271230000</v>
      </c>
    </row>
    <row r="102" spans="3:26" ht="15.5" x14ac:dyDescent="0.35">
      <c r="C102" t="s">
        <v>104</v>
      </c>
      <c r="D102" s="5">
        <v>30089159000000</v>
      </c>
      <c r="E102" s="5">
        <v>29508555000000</v>
      </c>
      <c r="F102" s="5">
        <v>28701619000000</v>
      </c>
      <c r="G102" s="5">
        <v>27419084000000</v>
      </c>
      <c r="I102" s="5">
        <v>29508555000000</v>
      </c>
      <c r="J102" s="5">
        <v>26530670000000</v>
      </c>
      <c r="K102" s="5">
        <v>22786783000000</v>
      </c>
      <c r="L102" s="5">
        <v>21942492000000</v>
      </c>
      <c r="M102" s="5">
        <v>21188011000000</v>
      </c>
      <c r="N102" s="5">
        <v>22578998556000</v>
      </c>
      <c r="O102" s="5">
        <v>22529668470000</v>
      </c>
      <c r="P102" s="5">
        <v>24807948171000</v>
      </c>
      <c r="Q102" s="5">
        <v>21012334697000</v>
      </c>
      <c r="R102" s="5">
        <v>19351314244000</v>
      </c>
      <c r="S102" s="5">
        <v>19104024330000</v>
      </c>
      <c r="T102" s="5">
        <v>15701092284000</v>
      </c>
      <c r="U102" s="5">
        <v>14784680218000</v>
      </c>
      <c r="V102" s="5">
        <v>12061689750000</v>
      </c>
      <c r="W102" s="5">
        <v>6093215303000</v>
      </c>
      <c r="X102" s="5">
        <v>4717101673000</v>
      </c>
      <c r="Y102" s="5">
        <v>4503149421000</v>
      </c>
      <c r="Z102" s="5">
        <v>4425508836000</v>
      </c>
    </row>
    <row r="103" spans="3:26" ht="15.5" x14ac:dyDescent="0.35">
      <c r="C103" t="s">
        <v>105</v>
      </c>
      <c r="D103" s="5">
        <v>63295662000000</v>
      </c>
      <c r="E103" s="5">
        <v>52530405000000</v>
      </c>
      <c r="F103" s="5">
        <v>48074747000000</v>
      </c>
      <c r="G103" s="5">
        <v>48378149000000</v>
      </c>
      <c r="I103" s="5">
        <v>52530405000000</v>
      </c>
      <c r="J103" s="5">
        <v>44522645000000</v>
      </c>
      <c r="K103" s="5">
        <v>42851329000000</v>
      </c>
      <c r="L103" s="5">
        <v>33637271000000</v>
      </c>
      <c r="M103" s="5">
        <v>32916154000000</v>
      </c>
      <c r="N103" s="5">
        <v>31729512995000</v>
      </c>
      <c r="O103" s="5">
        <v>30194907730000</v>
      </c>
      <c r="P103" s="5">
        <v>33306390807000</v>
      </c>
      <c r="Q103" s="5">
        <v>30014273452000</v>
      </c>
      <c r="R103" s="5">
        <v>29981535812000</v>
      </c>
      <c r="S103" s="5">
        <v>30356850890000</v>
      </c>
      <c r="T103" s="5">
        <v>22044202220000</v>
      </c>
      <c r="U103" s="5">
        <v>21865117391000</v>
      </c>
      <c r="V103" s="5">
        <v>19708540946000</v>
      </c>
      <c r="W103" s="5">
        <v>15201235077000</v>
      </c>
      <c r="X103" s="5">
        <v>12310732099000</v>
      </c>
      <c r="Y103" s="5">
        <v>9939996438000</v>
      </c>
      <c r="Z103" s="5">
        <v>10245040780000</v>
      </c>
    </row>
    <row r="104" spans="3:26" ht="15.5" x14ac:dyDescent="0.35">
      <c r="C104" t="s">
        <v>106</v>
      </c>
    </row>
    <row r="105" spans="3:26" ht="15.5" x14ac:dyDescent="0.35">
      <c r="C105" t="s">
        <v>107</v>
      </c>
    </row>
    <row r="106" spans="3:26" ht="15.5" x14ac:dyDescent="0.35">
      <c r="C106" t="s">
        <v>108</v>
      </c>
      <c r="D106" s="5">
        <v>16797083000000</v>
      </c>
      <c r="E106" s="5">
        <v>9682943000000</v>
      </c>
      <c r="F106" s="5">
        <v>7179273000000</v>
      </c>
      <c r="G106" s="5">
        <v>12089153000000</v>
      </c>
      <c r="I106" s="5">
        <v>9682943000000</v>
      </c>
      <c r="J106" s="5">
        <v>9770898000000</v>
      </c>
      <c r="K106" s="5">
        <v>8576440000000</v>
      </c>
      <c r="L106" s="5">
        <v>5971662000000</v>
      </c>
      <c r="M106" s="5">
        <v>6562383000000</v>
      </c>
      <c r="N106" s="5">
        <v>7553261301000</v>
      </c>
      <c r="O106" s="5">
        <v>5293238393000</v>
      </c>
      <c r="P106" s="5">
        <v>5511744144000</v>
      </c>
      <c r="Q106" s="5">
        <v>5552461635000</v>
      </c>
      <c r="R106" s="5">
        <v>4352313598000</v>
      </c>
      <c r="S106" s="5">
        <v>4339330380000</v>
      </c>
      <c r="T106" s="5">
        <v>3862917319000</v>
      </c>
      <c r="U106" s="5">
        <v>3855511633000</v>
      </c>
      <c r="V106" s="5">
        <v>3041406158000</v>
      </c>
      <c r="W106" s="5">
        <v>855829583000</v>
      </c>
      <c r="X106" s="5">
        <v>1989071312000</v>
      </c>
      <c r="Y106" s="5">
        <v>747531096000</v>
      </c>
      <c r="Z106" s="5">
        <v>718198391000</v>
      </c>
    </row>
    <row r="107" spans="3:26" ht="15.5" x14ac:dyDescent="0.35">
      <c r="C107" t="s">
        <v>335</v>
      </c>
      <c r="F107" s="5">
        <v>667000000000</v>
      </c>
      <c r="G107" s="5">
        <v>250000000000</v>
      </c>
      <c r="K107" s="5">
        <v>1002040000000</v>
      </c>
      <c r="L107" s="5">
        <v>188772000000</v>
      </c>
      <c r="M107" s="5">
        <v>1088646000000</v>
      </c>
      <c r="N107" s="5">
        <v>1071875750000</v>
      </c>
      <c r="O107" s="5">
        <v>1408101000000</v>
      </c>
      <c r="P107" s="5">
        <v>1452000000000</v>
      </c>
      <c r="Q107" s="5">
        <v>2715620000000</v>
      </c>
      <c r="R107" s="5">
        <v>2687200000000</v>
      </c>
      <c r="S107" s="5">
        <v>2808100000000</v>
      </c>
      <c r="T107" s="5">
        <v>2528041360000</v>
      </c>
      <c r="U107" s="5">
        <v>2469800000000</v>
      </c>
      <c r="V107" s="5">
        <v>1663900000000</v>
      </c>
      <c r="W107" s="5">
        <v>8000000000</v>
      </c>
      <c r="X107" s="5">
        <v>768730500000</v>
      </c>
      <c r="Y107" s="5">
        <v>239700000000</v>
      </c>
      <c r="Z107" s="5">
        <v>255500000000</v>
      </c>
    </row>
    <row r="108" spans="3:26" ht="15.5" x14ac:dyDescent="0.35">
      <c r="C108" t="s">
        <v>109</v>
      </c>
      <c r="D108" s="5">
        <v>1535333000000</v>
      </c>
      <c r="E108" s="5">
        <v>1597954000000</v>
      </c>
      <c r="F108" s="5">
        <v>1616861000000</v>
      </c>
      <c r="G108" s="5">
        <v>1599674000000</v>
      </c>
      <c r="I108" s="5">
        <v>1597954000000</v>
      </c>
      <c r="J108" s="5">
        <v>1771033000000</v>
      </c>
      <c r="K108" s="5">
        <v>1549578000000</v>
      </c>
      <c r="L108" s="5">
        <v>1301565000000</v>
      </c>
      <c r="M108" s="5">
        <v>1399446000000</v>
      </c>
      <c r="N108" s="5">
        <v>672748000000</v>
      </c>
    </row>
    <row r="109" spans="3:26" ht="15.5" x14ac:dyDescent="0.35">
      <c r="C109" t="s">
        <v>110</v>
      </c>
      <c r="D109" s="5">
        <v>1535333000000</v>
      </c>
      <c r="E109" s="5">
        <v>1597954000000</v>
      </c>
      <c r="F109" s="5">
        <v>1616861000000</v>
      </c>
      <c r="G109" s="5">
        <v>1599674000000</v>
      </c>
      <c r="I109" s="5">
        <v>1597954000000</v>
      </c>
      <c r="J109" s="5">
        <v>1771033000000</v>
      </c>
      <c r="K109" s="5">
        <v>1549578000000</v>
      </c>
      <c r="L109" s="5">
        <v>1301565000000</v>
      </c>
      <c r="M109" s="5">
        <v>1399446000000</v>
      </c>
      <c r="N109" s="5">
        <v>672748000000</v>
      </c>
      <c r="O109" s="5">
        <v>739743696000</v>
      </c>
      <c r="P109" s="5">
        <v>1157990961000</v>
      </c>
      <c r="Q109" s="5">
        <v>806385201000</v>
      </c>
      <c r="R109" s="5">
        <v>585725941000</v>
      </c>
      <c r="S109" s="5">
        <v>724094858000</v>
      </c>
      <c r="T109" s="5">
        <v>687476255000</v>
      </c>
      <c r="U109" s="5">
        <v>547080010000</v>
      </c>
      <c r="V109" s="5">
        <v>416953452000</v>
      </c>
      <c r="W109" s="5">
        <v>257594562000</v>
      </c>
      <c r="X109" s="5">
        <v>264657127000</v>
      </c>
      <c r="Y109" s="5">
        <v>158510288000</v>
      </c>
      <c r="Z109" s="5">
        <v>130531638000</v>
      </c>
    </row>
    <row r="110" spans="3:26" ht="15.5" x14ac:dyDescent="0.35">
      <c r="C110" t="s">
        <v>111</v>
      </c>
      <c r="D110" s="5">
        <v>3884974000000</v>
      </c>
      <c r="E110" s="5">
        <v>3575434000000</v>
      </c>
      <c r="F110" s="5">
        <v>1235346000000</v>
      </c>
      <c r="G110" s="5">
        <v>1443318000000</v>
      </c>
      <c r="I110" s="5">
        <v>3575434000000</v>
      </c>
      <c r="J110" s="5">
        <v>1609847000000</v>
      </c>
      <c r="K110" s="5">
        <v>1787341000000</v>
      </c>
      <c r="L110" s="5">
        <v>777836000000</v>
      </c>
      <c r="M110" s="5">
        <v>723302000000</v>
      </c>
      <c r="N110" s="5">
        <v>624041521000</v>
      </c>
      <c r="O110" s="5">
        <v>441970183000</v>
      </c>
      <c r="P110" s="5">
        <v>756944297000</v>
      </c>
      <c r="Q110" s="5">
        <v>388295108000</v>
      </c>
      <c r="R110" s="5">
        <v>214649427000</v>
      </c>
      <c r="S110" s="5">
        <v>251599629000</v>
      </c>
      <c r="T110" s="5">
        <v>161623654000</v>
      </c>
      <c r="U110" s="5">
        <v>331623859000</v>
      </c>
      <c r="V110" s="5">
        <v>414007012000</v>
      </c>
      <c r="W110" s="5">
        <v>379582278000</v>
      </c>
      <c r="X110" s="5">
        <v>420448898000</v>
      </c>
      <c r="Y110" s="5">
        <v>227432287000</v>
      </c>
      <c r="Z110" s="5">
        <v>204523461000</v>
      </c>
    </row>
    <row r="111" spans="3:26" ht="15.5" x14ac:dyDescent="0.35">
      <c r="C111" t="s">
        <v>112</v>
      </c>
      <c r="T111" s="5">
        <v>120169672000</v>
      </c>
      <c r="U111" s="5">
        <v>180599828000</v>
      </c>
      <c r="V111" s="5">
        <v>150007865000</v>
      </c>
      <c r="W111" s="5">
        <v>87685073000</v>
      </c>
      <c r="X111" s="5">
        <v>412061288000</v>
      </c>
      <c r="Y111" s="5">
        <v>16425379000</v>
      </c>
      <c r="Z111" s="5">
        <v>20140415000</v>
      </c>
    </row>
    <row r="112" spans="3:26" ht="15.5" x14ac:dyDescent="0.35">
      <c r="C112" t="s">
        <v>113</v>
      </c>
      <c r="D112" s="5">
        <v>1747305000000</v>
      </c>
      <c r="E112" s="5">
        <v>840126000000</v>
      </c>
      <c r="F112" s="5">
        <v>708946000000</v>
      </c>
      <c r="G112" s="5">
        <v>626389000000</v>
      </c>
      <c r="I112" s="5">
        <v>840126000000</v>
      </c>
      <c r="J112" s="5">
        <v>172529000000</v>
      </c>
      <c r="K112" s="5">
        <v>639663000000</v>
      </c>
      <c r="L112" s="5">
        <v>275617000000</v>
      </c>
      <c r="M112" s="5">
        <v>327643000000</v>
      </c>
      <c r="N112" s="5">
        <v>455925240000</v>
      </c>
      <c r="O112" s="5">
        <v>96270146000</v>
      </c>
      <c r="P112" s="5">
        <v>123819266000</v>
      </c>
      <c r="Q112" s="5">
        <v>36268950000</v>
      </c>
      <c r="R112" s="5">
        <v>61481631000</v>
      </c>
      <c r="S112" s="5">
        <v>62779033000</v>
      </c>
      <c r="T112" s="5">
        <v>120169672000</v>
      </c>
      <c r="U112" s="5">
        <v>180599828000</v>
      </c>
      <c r="V112" s="5">
        <v>150007865000</v>
      </c>
      <c r="W112" s="5">
        <v>87685073000</v>
      </c>
      <c r="X112" s="5">
        <v>412061288000</v>
      </c>
      <c r="Y112" s="5">
        <v>16425379000</v>
      </c>
      <c r="Z112" s="5">
        <v>20140415000</v>
      </c>
    </row>
    <row r="113" spans="3:26" ht="15.5" x14ac:dyDescent="0.35">
      <c r="C113" t="s">
        <v>373</v>
      </c>
      <c r="O113" s="5">
        <v>2098515743000</v>
      </c>
      <c r="P113" s="5">
        <v>2097852666000</v>
      </c>
      <c r="Q113" s="5">
        <v>2097246586000</v>
      </c>
      <c r="R113" s="5">
        <v>2995896341000</v>
      </c>
      <c r="S113" s="5">
        <v>2995030772000</v>
      </c>
      <c r="T113" s="5">
        <v>2994237464000</v>
      </c>
      <c r="U113" s="5">
        <v>2993510374000</v>
      </c>
      <c r="V113" s="5">
        <v>2992843970000</v>
      </c>
      <c r="W113" s="5">
        <v>2992235852000</v>
      </c>
    </row>
    <row r="114" spans="3:26" ht="15.5" x14ac:dyDescent="0.35">
      <c r="C114" t="s">
        <v>374</v>
      </c>
      <c r="N114" s="5">
        <v>10292720000</v>
      </c>
      <c r="O114" s="5">
        <v>10041652000</v>
      </c>
      <c r="P114" s="5">
        <v>2620644000</v>
      </c>
    </row>
    <row r="115" spans="3:26" ht="15.5" x14ac:dyDescent="0.35">
      <c r="C115" t="s">
        <v>375</v>
      </c>
      <c r="K115" s="5">
        <v>881497000000</v>
      </c>
      <c r="L115" s="5">
        <v>2082133000000</v>
      </c>
      <c r="M115" s="5">
        <v>3703354000000</v>
      </c>
      <c r="N115" s="5">
        <v>3387656839000</v>
      </c>
      <c r="O115" s="5">
        <v>3465639144000</v>
      </c>
      <c r="P115" s="5">
        <v>5249741153000</v>
      </c>
      <c r="Q115" s="5">
        <v>3200350554000</v>
      </c>
      <c r="R115" s="5">
        <v>3653536133000</v>
      </c>
      <c r="S115" s="5">
        <v>3927468734000</v>
      </c>
      <c r="T115" s="5">
        <v>2268658242000</v>
      </c>
      <c r="U115" s="5">
        <v>1223734214000</v>
      </c>
      <c r="Y115" s="5">
        <v>239700000000</v>
      </c>
      <c r="Z115" s="5">
        <v>558450000000</v>
      </c>
    </row>
    <row r="116" spans="3:26" ht="15.5" x14ac:dyDescent="0.35">
      <c r="C116" t="s">
        <v>116</v>
      </c>
      <c r="D116" s="5">
        <v>5485244000000</v>
      </c>
      <c r="E116" s="5">
        <v>1330000000000</v>
      </c>
      <c r="I116" s="5">
        <v>1330000000000</v>
      </c>
    </row>
    <row r="117" spans="3:26" ht="15.5" x14ac:dyDescent="0.35">
      <c r="C117" t="s">
        <v>376</v>
      </c>
      <c r="D117" s="5">
        <v>39255000000</v>
      </c>
      <c r="E117" s="5">
        <v>53956000000</v>
      </c>
      <c r="F117" s="5">
        <v>51026000000</v>
      </c>
      <c r="G117" s="5">
        <v>51905000000</v>
      </c>
      <c r="I117" s="5">
        <v>53956000000</v>
      </c>
      <c r="J117" s="5">
        <v>42357000000</v>
      </c>
      <c r="K117" s="5">
        <v>63486000000</v>
      </c>
      <c r="L117" s="5">
        <v>62641000000</v>
      </c>
      <c r="M117" s="5">
        <v>83710000000</v>
      </c>
      <c r="N117" s="5">
        <v>87795767000</v>
      </c>
    </row>
    <row r="118" spans="3:26" ht="15.5" x14ac:dyDescent="0.35">
      <c r="C118" t="s">
        <v>120</v>
      </c>
      <c r="D118" s="5">
        <v>235513000000</v>
      </c>
      <c r="E118" s="5">
        <v>330899000000</v>
      </c>
      <c r="F118" s="5">
        <v>262864000000</v>
      </c>
      <c r="G118" s="5">
        <v>261601000000</v>
      </c>
      <c r="I118" s="5">
        <v>330899000000</v>
      </c>
      <c r="J118" s="5">
        <v>359705000000</v>
      </c>
      <c r="K118" s="5">
        <v>450285000000</v>
      </c>
      <c r="L118" s="5">
        <v>473188000000</v>
      </c>
      <c r="M118" s="5">
        <v>609149000000</v>
      </c>
      <c r="N118" s="5">
        <v>656144957000</v>
      </c>
      <c r="O118" s="5">
        <v>706574335000</v>
      </c>
      <c r="P118" s="5">
        <v>435253992000</v>
      </c>
      <c r="Q118" s="5">
        <v>59654341000</v>
      </c>
      <c r="R118" s="5">
        <v>62465512000</v>
      </c>
      <c r="S118" s="5">
        <v>42387538000</v>
      </c>
      <c r="T118" s="5">
        <v>55679758000</v>
      </c>
      <c r="U118" s="5">
        <v>71908862000</v>
      </c>
      <c r="V118" s="5">
        <v>37756594000</v>
      </c>
      <c r="W118" s="5">
        <v>32830173000</v>
      </c>
      <c r="X118" s="5">
        <v>36875899000</v>
      </c>
      <c r="Y118" s="5">
        <v>70875303000</v>
      </c>
      <c r="Z118" s="5">
        <v>47600296000</v>
      </c>
    </row>
    <row r="119" spans="3:26" ht="15.5" x14ac:dyDescent="0.35">
      <c r="C119" t="s">
        <v>121</v>
      </c>
      <c r="D119" s="5">
        <v>6092568000000</v>
      </c>
      <c r="E119" s="5">
        <v>6247576000000</v>
      </c>
      <c r="F119" s="5">
        <v>5698556000000</v>
      </c>
      <c r="G119" s="5">
        <v>2582497000000</v>
      </c>
      <c r="I119" s="5">
        <v>6247576000000</v>
      </c>
      <c r="J119" s="5">
        <v>2552241000000</v>
      </c>
      <c r="K119" s="5">
        <v>3109219000000</v>
      </c>
      <c r="L119" s="5">
        <v>3953549000000</v>
      </c>
      <c r="M119" s="5">
        <v>5516673000000</v>
      </c>
      <c r="N119" s="5">
        <v>5136802669000</v>
      </c>
      <c r="O119" s="5">
        <v>6768250162000</v>
      </c>
      <c r="P119" s="5">
        <v>8055415940000</v>
      </c>
      <c r="Q119" s="5">
        <v>5971408300000</v>
      </c>
      <c r="R119" s="5">
        <v>7220426641000</v>
      </c>
      <c r="S119" s="5">
        <v>7700801548000</v>
      </c>
      <c r="T119" s="5">
        <v>6251723634000</v>
      </c>
      <c r="U119" s="5">
        <v>5216118226000</v>
      </c>
      <c r="V119" s="5">
        <v>3834818732000</v>
      </c>
      <c r="W119" s="5">
        <v>3573361944000</v>
      </c>
      <c r="X119" s="5">
        <v>720825489000</v>
      </c>
      <c r="Y119" s="5">
        <v>1000596323000</v>
      </c>
      <c r="Z119" s="5">
        <v>1412771903000</v>
      </c>
    </row>
    <row r="120" spans="3:26" ht="15.5" x14ac:dyDescent="0.35">
      <c r="C120" t="s">
        <v>122</v>
      </c>
      <c r="D120" s="5">
        <v>6092568000000</v>
      </c>
      <c r="E120" s="5">
        <v>6247576000000</v>
      </c>
      <c r="F120" s="5">
        <v>5698556000000</v>
      </c>
      <c r="G120" s="5">
        <v>2582497000000</v>
      </c>
      <c r="I120" s="5">
        <v>6247576000000</v>
      </c>
      <c r="J120" s="5">
        <v>2552241000000</v>
      </c>
      <c r="K120" s="5">
        <v>3109219000000</v>
      </c>
      <c r="L120" s="5">
        <v>3953549000000</v>
      </c>
      <c r="M120" s="5">
        <v>5516673000000</v>
      </c>
      <c r="N120" s="5">
        <v>5136802669000</v>
      </c>
      <c r="O120" s="5">
        <v>6768250162000</v>
      </c>
      <c r="P120" s="5">
        <v>8055415940000</v>
      </c>
      <c r="Q120" s="5">
        <v>5971408300000</v>
      </c>
      <c r="R120" s="5">
        <v>7220426641000</v>
      </c>
      <c r="S120" s="5">
        <v>7700801548000</v>
      </c>
      <c r="T120" s="5">
        <v>6251723634000</v>
      </c>
      <c r="U120" s="5">
        <v>5216118226000</v>
      </c>
      <c r="V120" s="5">
        <v>3834818732000</v>
      </c>
      <c r="W120" s="5">
        <v>3573361944000</v>
      </c>
      <c r="X120" s="5">
        <v>720825489000</v>
      </c>
      <c r="Y120" s="5">
        <v>1000596323000</v>
      </c>
      <c r="Z120" s="5">
        <v>1412771903000</v>
      </c>
    </row>
    <row r="121" spans="3:26" ht="15.5" x14ac:dyDescent="0.35">
      <c r="C121" t="s">
        <v>127</v>
      </c>
      <c r="X121" s="5">
        <v>23934291000</v>
      </c>
      <c r="Y121" s="5">
        <v>34008915000</v>
      </c>
      <c r="Z121" s="5">
        <v>37114469000</v>
      </c>
    </row>
    <row r="122" spans="3:26" ht="15.5" x14ac:dyDescent="0.35">
      <c r="C122" t="s">
        <v>126</v>
      </c>
      <c r="T122" s="5">
        <v>579734448000</v>
      </c>
      <c r="U122" s="5">
        <v>568114116000</v>
      </c>
      <c r="V122" s="5">
        <v>296357929000</v>
      </c>
    </row>
    <row r="123" spans="3:26" ht="15.5" x14ac:dyDescent="0.35">
      <c r="C123" t="s">
        <v>128</v>
      </c>
      <c r="D123" s="5">
        <v>22889651000000</v>
      </c>
      <c r="E123" s="5">
        <v>15930519000000</v>
      </c>
      <c r="F123" s="5">
        <v>12877829000000</v>
      </c>
      <c r="G123" s="5">
        <v>14671650000000</v>
      </c>
      <c r="I123" s="5">
        <v>15930519000000</v>
      </c>
      <c r="J123" s="5">
        <v>12323139000000</v>
      </c>
      <c r="K123" s="5">
        <v>11685659000000</v>
      </c>
      <c r="L123" s="5">
        <v>9925211000000</v>
      </c>
      <c r="M123" s="5">
        <v>12079056000000</v>
      </c>
      <c r="N123" s="5">
        <v>12690063970000</v>
      </c>
      <c r="O123" s="5">
        <v>12061488555000</v>
      </c>
      <c r="P123" s="5">
        <v>13567160084000</v>
      </c>
      <c r="Q123" s="5">
        <v>11523869935000</v>
      </c>
      <c r="R123" s="5">
        <v>11572740239000</v>
      </c>
      <c r="S123" s="5">
        <v>12040131928000</v>
      </c>
      <c r="T123" s="5">
        <v>10114640953000</v>
      </c>
      <c r="U123" s="5">
        <v>9071629859000</v>
      </c>
      <c r="V123" s="5">
        <v>6876224890000</v>
      </c>
      <c r="W123" s="5">
        <v>4429191527000</v>
      </c>
      <c r="X123" s="5">
        <v>2709896801000</v>
      </c>
      <c r="Y123" s="5">
        <v>1748127419000</v>
      </c>
      <c r="Z123" s="5">
        <v>2130970294000</v>
      </c>
    </row>
    <row r="124" spans="3:26" ht="15.5" x14ac:dyDescent="0.35">
      <c r="C124" t="s">
        <v>129</v>
      </c>
    </row>
    <row r="125" spans="3:26" ht="15.5" x14ac:dyDescent="0.35">
      <c r="C125" t="s">
        <v>130</v>
      </c>
      <c r="D125" s="5">
        <v>2403076000000</v>
      </c>
      <c r="E125" s="5">
        <v>2403076000000</v>
      </c>
      <c r="F125" s="5">
        <v>2403076000000</v>
      </c>
      <c r="G125" s="5">
        <v>2403076000000</v>
      </c>
      <c r="I125" s="5">
        <v>2403076000000</v>
      </c>
      <c r="J125" s="5">
        <v>2403076000000</v>
      </c>
      <c r="K125" s="5">
        <v>2403076000000</v>
      </c>
      <c r="L125" s="5">
        <v>2403076000000</v>
      </c>
      <c r="M125" s="5">
        <v>2403076000000</v>
      </c>
      <c r="N125" s="5">
        <v>2403076473000</v>
      </c>
      <c r="O125" s="5">
        <v>2403076473000</v>
      </c>
      <c r="P125" s="5">
        <v>2403076473000</v>
      </c>
      <c r="Q125" s="5">
        <v>2403076473000</v>
      </c>
      <c r="R125" s="5">
        <v>2403076473000</v>
      </c>
      <c r="S125" s="5">
        <v>2403076473000</v>
      </c>
      <c r="T125" s="5">
        <v>953845975000</v>
      </c>
      <c r="U125" s="5">
        <v>953845975000</v>
      </c>
      <c r="V125" s="5">
        <v>953845975000</v>
      </c>
      <c r="W125" s="5">
        <v>953845975000</v>
      </c>
      <c r="X125" s="5">
        <v>953845975000</v>
      </c>
      <c r="Y125" s="5">
        <v>953845975000</v>
      </c>
      <c r="Z125" s="5">
        <v>953845975000</v>
      </c>
    </row>
    <row r="126" spans="3:26" ht="15.5" x14ac:dyDescent="0.35">
      <c r="C126" t="s">
        <v>131</v>
      </c>
      <c r="D126" s="5">
        <v>9696068000000</v>
      </c>
      <c r="E126" s="5">
        <v>9696068000000</v>
      </c>
      <c r="F126" s="5">
        <v>9696068000000</v>
      </c>
      <c r="G126" s="5">
        <v>9696068000000</v>
      </c>
      <c r="I126" s="5">
        <v>9696068000000</v>
      </c>
      <c r="J126" s="5">
        <v>9696068000000</v>
      </c>
      <c r="K126" s="5">
        <v>9696068000000</v>
      </c>
      <c r="L126" s="5">
        <v>3934833000000</v>
      </c>
      <c r="M126" s="5">
        <v>3934833000000</v>
      </c>
      <c r="N126" s="5">
        <v>3934833124000</v>
      </c>
      <c r="O126" s="5">
        <v>3934833124000</v>
      </c>
      <c r="P126" s="5">
        <v>3934833124000</v>
      </c>
      <c r="Q126" s="5">
        <v>3934833124000</v>
      </c>
      <c r="R126" s="5">
        <v>3934833124000</v>
      </c>
      <c r="S126" s="5">
        <v>3934833124000</v>
      </c>
      <c r="T126" s="5">
        <v>29817600000</v>
      </c>
      <c r="U126" s="5">
        <v>29704906000</v>
      </c>
      <c r="V126" s="5">
        <v>8370273000</v>
      </c>
      <c r="W126" s="5">
        <v>2526309000</v>
      </c>
      <c r="X126" s="5">
        <v>2526309000</v>
      </c>
      <c r="Y126" s="5">
        <v>2526309000</v>
      </c>
      <c r="Z126" s="5">
        <v>2526309000</v>
      </c>
    </row>
    <row r="127" spans="3:26" ht="15.5" x14ac:dyDescent="0.35">
      <c r="C127" t="s">
        <v>132</v>
      </c>
      <c r="D127" s="5">
        <v>22187857000000</v>
      </c>
      <c r="E127" s="5">
        <v>18781075000000</v>
      </c>
      <c r="F127" s="5">
        <v>17309794000000</v>
      </c>
      <c r="G127" s="5">
        <v>16034498000000</v>
      </c>
      <c r="I127" s="5">
        <v>18781075000000</v>
      </c>
      <c r="J127" s="5">
        <v>14985766000000</v>
      </c>
      <c r="K127" s="5">
        <v>14389642000000</v>
      </c>
      <c r="L127" s="5">
        <v>13142512000000</v>
      </c>
      <c r="M127" s="5">
        <v>10271507000000</v>
      </c>
      <c r="N127" s="5">
        <v>8786064046000</v>
      </c>
      <c r="O127" s="5">
        <v>7912776028000</v>
      </c>
      <c r="P127" s="5">
        <v>10591179044000</v>
      </c>
      <c r="Q127" s="5">
        <v>9765721053000</v>
      </c>
      <c r="R127" s="5">
        <v>9685248716000</v>
      </c>
      <c r="S127" s="5">
        <v>9593047837000</v>
      </c>
      <c r="T127" s="5">
        <v>10890769511000</v>
      </c>
      <c r="U127" s="5">
        <v>11758293770000</v>
      </c>
      <c r="V127" s="5">
        <v>11748920056000</v>
      </c>
      <c r="W127" s="5">
        <v>9700470953000</v>
      </c>
      <c r="X127" s="5">
        <v>8508827679000</v>
      </c>
      <c r="Y127" s="5">
        <v>7091322806000</v>
      </c>
      <c r="Z127" s="5">
        <v>7054793471000</v>
      </c>
    </row>
    <row r="128" spans="3:26" ht="15.5" x14ac:dyDescent="0.35">
      <c r="C128" t="s">
        <v>133</v>
      </c>
      <c r="D128" s="5">
        <v>480615000000</v>
      </c>
      <c r="E128" s="5">
        <v>480615000000</v>
      </c>
      <c r="F128" s="5">
        <v>480615000000</v>
      </c>
      <c r="G128" s="5">
        <v>480615000000</v>
      </c>
      <c r="I128" s="5">
        <v>480615000000</v>
      </c>
      <c r="J128" s="5">
        <v>480615000000</v>
      </c>
      <c r="K128" s="5">
        <v>480615000000</v>
      </c>
      <c r="L128" s="5">
        <v>480615000000</v>
      </c>
      <c r="M128" s="5">
        <v>480615000000</v>
      </c>
      <c r="N128" s="5">
        <v>480615295000</v>
      </c>
      <c r="O128" s="5">
        <v>480615295000</v>
      </c>
      <c r="P128" s="5">
        <v>9113209777000</v>
      </c>
      <c r="Q128" s="5">
        <v>11613209777000</v>
      </c>
      <c r="R128" s="5">
        <v>11613209777000</v>
      </c>
      <c r="S128" s="5">
        <v>11613209777000</v>
      </c>
      <c r="T128" s="5">
        <v>11613209777000</v>
      </c>
      <c r="U128" s="5">
        <v>11295503087000</v>
      </c>
      <c r="V128" s="5">
        <v>8751355353000</v>
      </c>
      <c r="W128" s="5">
        <v>7768131683000</v>
      </c>
      <c r="X128" s="5">
        <v>6825427687000</v>
      </c>
      <c r="Y128" s="5">
        <v>6487015718000</v>
      </c>
      <c r="Z128" s="5">
        <v>5686654306000</v>
      </c>
    </row>
    <row r="129" spans="2:26" ht="15.5" x14ac:dyDescent="0.35">
      <c r="C129" t="s">
        <v>134</v>
      </c>
      <c r="D129" s="5">
        <v>21707242000000</v>
      </c>
      <c r="E129" s="5">
        <v>18300460000000</v>
      </c>
      <c r="F129" s="5">
        <v>16829179000000</v>
      </c>
      <c r="G129" s="5">
        <v>15553883000000</v>
      </c>
      <c r="I129" s="5">
        <v>18300460000000</v>
      </c>
      <c r="J129" s="5">
        <v>14505151000000</v>
      </c>
      <c r="K129" s="5">
        <v>13909027000000</v>
      </c>
      <c r="L129" s="5">
        <v>12661897000000</v>
      </c>
      <c r="M129" s="5">
        <v>9790892000000</v>
      </c>
      <c r="N129" s="5">
        <v>8305448751000</v>
      </c>
      <c r="O129" s="5">
        <v>7432160733000</v>
      </c>
      <c r="P129" s="5">
        <v>1477969267000</v>
      </c>
      <c r="Q129" s="5">
        <v>-1847488724000</v>
      </c>
      <c r="R129" s="5">
        <v>-1927961061000</v>
      </c>
      <c r="S129" s="5">
        <v>-2020161940000</v>
      </c>
      <c r="T129" s="5">
        <v>-722440266000</v>
      </c>
      <c r="U129" s="5">
        <v>462790683000</v>
      </c>
      <c r="V129" s="5">
        <v>2997564703000</v>
      </c>
      <c r="W129" s="5">
        <v>1932339270000</v>
      </c>
      <c r="X129" s="5">
        <v>1683399992000</v>
      </c>
      <c r="Y129" s="5">
        <v>604307088000</v>
      </c>
      <c r="Z129" s="5">
        <v>1368139165000</v>
      </c>
    </row>
    <row r="130" spans="2:26" ht="15.5" x14ac:dyDescent="0.35">
      <c r="C130" t="s">
        <v>135</v>
      </c>
      <c r="D130" s="5">
        <v>22187857000000</v>
      </c>
      <c r="E130" s="5">
        <v>18781075000000</v>
      </c>
      <c r="F130" s="5">
        <v>17309794000000</v>
      </c>
      <c r="G130" s="5">
        <v>16034498000000</v>
      </c>
      <c r="I130" s="5">
        <v>18781075000000</v>
      </c>
      <c r="J130" s="5">
        <v>14985766000000</v>
      </c>
      <c r="K130" s="5">
        <v>14389642000000</v>
      </c>
      <c r="L130" s="5">
        <v>13142512000000</v>
      </c>
      <c r="M130" s="5">
        <v>10271507000000</v>
      </c>
      <c r="N130" s="5">
        <v>8786064046000</v>
      </c>
      <c r="O130" s="5">
        <v>7912776028000</v>
      </c>
      <c r="P130" s="5">
        <v>10591179044000</v>
      </c>
      <c r="Q130" s="5">
        <v>9765721053000</v>
      </c>
      <c r="R130" s="5">
        <v>9685248716000</v>
      </c>
      <c r="S130" s="5">
        <v>9593047837000</v>
      </c>
      <c r="T130" s="5">
        <v>10890769511000</v>
      </c>
      <c r="U130" s="5">
        <v>11758293770000</v>
      </c>
      <c r="V130" s="5">
        <v>11748920056000</v>
      </c>
      <c r="W130" s="5">
        <v>9700470953000</v>
      </c>
      <c r="X130" s="5">
        <v>8508827679000</v>
      </c>
      <c r="Y130" s="5">
        <v>7091322806000</v>
      </c>
      <c r="Z130" s="5">
        <v>7054793471000</v>
      </c>
    </row>
    <row r="131" spans="2:26" ht="15.5" x14ac:dyDescent="0.35">
      <c r="C131" t="s">
        <v>136</v>
      </c>
      <c r="D131" s="5">
        <v>1559008000000</v>
      </c>
      <c r="E131" s="5">
        <v>1301679000000</v>
      </c>
      <c r="F131" s="5">
        <v>1379021000000</v>
      </c>
      <c r="G131" s="5">
        <v>1188494000000</v>
      </c>
      <c r="I131" s="5">
        <v>1301679000000</v>
      </c>
      <c r="J131" s="5">
        <v>741393000000</v>
      </c>
      <c r="K131" s="5">
        <v>522475000000</v>
      </c>
      <c r="L131" s="5">
        <v>17000000</v>
      </c>
      <c r="M131" s="5">
        <v>18000000</v>
      </c>
      <c r="N131" s="5">
        <v>20744000</v>
      </c>
      <c r="O131" s="5">
        <v>19854000</v>
      </c>
      <c r="P131" s="5">
        <v>18970000</v>
      </c>
      <c r="Q131" s="5">
        <v>17407000</v>
      </c>
      <c r="R131" s="5">
        <v>20920000</v>
      </c>
      <c r="S131" s="5">
        <v>25057000</v>
      </c>
      <c r="T131" s="5">
        <v>26158000</v>
      </c>
      <c r="U131" s="5">
        <v>25614000</v>
      </c>
      <c r="V131" s="5">
        <v>22360000</v>
      </c>
      <c r="W131" s="5">
        <v>9411000</v>
      </c>
      <c r="X131" s="5">
        <v>20737073000</v>
      </c>
      <c r="Y131" s="5">
        <v>42929529000</v>
      </c>
      <c r="Z131" s="5">
        <v>50932665000</v>
      </c>
    </row>
    <row r="132" spans="2:26" ht="15.5" x14ac:dyDescent="0.35">
      <c r="C132" t="s">
        <v>8</v>
      </c>
      <c r="D132" s="5">
        <v>40406011000000</v>
      </c>
      <c r="E132" s="5">
        <v>36599886000000</v>
      </c>
      <c r="F132" s="5">
        <v>35196918000000</v>
      </c>
      <c r="G132" s="5">
        <v>33706499000000</v>
      </c>
      <c r="I132" s="5">
        <v>36599886000000</v>
      </c>
      <c r="J132" s="5">
        <v>32199506000000</v>
      </c>
      <c r="K132" s="5">
        <v>31165670000000</v>
      </c>
      <c r="L132" s="5">
        <v>23712060000000</v>
      </c>
      <c r="M132" s="5">
        <v>20837098000000</v>
      </c>
      <c r="N132" s="5">
        <v>19039449025000</v>
      </c>
      <c r="O132" s="5">
        <v>18133419175000</v>
      </c>
      <c r="P132" s="5">
        <v>19739230723000</v>
      </c>
      <c r="Q132" s="5">
        <v>18490403517000</v>
      </c>
      <c r="R132" s="5">
        <v>18408795573000</v>
      </c>
      <c r="S132" s="5">
        <v>18316718962000</v>
      </c>
      <c r="T132" s="5">
        <v>11929561267000</v>
      </c>
      <c r="U132" s="5">
        <v>12793487532000</v>
      </c>
      <c r="V132" s="5">
        <v>12832316056000</v>
      </c>
      <c r="W132" s="5">
        <v>10772043550000</v>
      </c>
      <c r="X132" s="5">
        <v>9600835298000</v>
      </c>
      <c r="Y132" s="5">
        <v>8191869019000</v>
      </c>
      <c r="Z132" s="5">
        <v>8114070486000</v>
      </c>
    </row>
    <row r="133" spans="2:26" ht="15.5" x14ac:dyDescent="0.35">
      <c r="C133" t="s">
        <v>137</v>
      </c>
      <c r="D133" s="5">
        <v>63295662000000</v>
      </c>
      <c r="E133" s="5">
        <v>52530405000000</v>
      </c>
      <c r="F133" s="5">
        <v>48074747000000</v>
      </c>
      <c r="G133" s="5">
        <v>48378149000000</v>
      </c>
      <c r="I133" s="5">
        <v>52530405000000</v>
      </c>
      <c r="J133" s="5">
        <v>44522645000000</v>
      </c>
      <c r="K133" s="5">
        <v>42851329000000</v>
      </c>
      <c r="L133" s="5">
        <v>33637271000000</v>
      </c>
      <c r="M133" s="5">
        <v>32916154000000</v>
      </c>
      <c r="N133" s="5">
        <v>31729512995000</v>
      </c>
      <c r="O133" s="5">
        <v>30194907730000</v>
      </c>
      <c r="P133" s="5">
        <v>33306390807000</v>
      </c>
      <c r="Q133" s="5">
        <v>30014273452000</v>
      </c>
      <c r="R133" s="5">
        <v>29981535812000</v>
      </c>
      <c r="S133" s="5">
        <v>30356850890000</v>
      </c>
      <c r="T133" s="5">
        <v>22044202220000</v>
      </c>
      <c r="U133" s="5">
        <v>21865117391000</v>
      </c>
      <c r="V133" s="5">
        <v>19708540946000</v>
      </c>
      <c r="W133" s="5">
        <v>15201235077000</v>
      </c>
      <c r="X133" s="5">
        <v>12310732099000</v>
      </c>
      <c r="Y133" s="5">
        <v>9939996438000</v>
      </c>
      <c r="Z133" s="5">
        <v>10245040780000</v>
      </c>
    </row>
    <row r="134" spans="2:26" ht="15.5" x14ac:dyDescent="0.35">
      <c r="C134" t="s">
        <v>138</v>
      </c>
      <c r="D134" s="5">
        <v>24030764725</v>
      </c>
      <c r="E134" s="5">
        <v>24030764725</v>
      </c>
      <c r="F134" s="5">
        <v>24030764725</v>
      </c>
      <c r="G134" s="5">
        <v>24030764725</v>
      </c>
      <c r="I134" s="5">
        <v>24030764725</v>
      </c>
      <c r="J134" s="5">
        <v>24030764725</v>
      </c>
      <c r="K134" s="5">
        <v>24030764725</v>
      </c>
      <c r="L134" s="5">
        <v>24030764725</v>
      </c>
      <c r="M134" s="5">
        <v>24030764725</v>
      </c>
      <c r="N134" s="5">
        <v>24030764725</v>
      </c>
      <c r="O134" s="5">
        <v>24030764725</v>
      </c>
      <c r="P134" s="5">
        <v>24030764725</v>
      </c>
      <c r="Q134" s="5">
        <v>24030764725</v>
      </c>
      <c r="R134" s="5">
        <v>24030764725</v>
      </c>
      <c r="S134" s="5">
        <v>24030764725</v>
      </c>
      <c r="T134" s="5">
        <v>9538459749</v>
      </c>
      <c r="U134" s="5">
        <v>9538459749</v>
      </c>
      <c r="V134" s="5">
        <v>9538459749</v>
      </c>
      <c r="W134" s="5">
        <v>9538459749</v>
      </c>
      <c r="X134" s="5">
        <v>9538459749</v>
      </c>
      <c r="Y134" s="5">
        <v>9538459749</v>
      </c>
      <c r="Z134" s="5">
        <v>9538459749</v>
      </c>
    </row>
    <row r="136" spans="2:26" ht="15.5" x14ac:dyDescent="0.35">
      <c r="B136" t="s">
        <v>139</v>
      </c>
      <c r="C136" t="s">
        <v>140</v>
      </c>
      <c r="D136" s="5">
        <v>-3154169000000</v>
      </c>
      <c r="E136" s="5">
        <v>831959000000</v>
      </c>
      <c r="F136" s="5">
        <v>1746066000000</v>
      </c>
      <c r="G136" s="5">
        <v>193181000000</v>
      </c>
      <c r="I136" s="5">
        <v>4853256000000</v>
      </c>
      <c r="J136" s="5">
        <v>3681115000000</v>
      </c>
      <c r="K136" s="5">
        <v>4357302000000</v>
      </c>
      <c r="L136" s="5">
        <v>4108037000000</v>
      </c>
      <c r="M136" s="5">
        <v>5042665000000</v>
      </c>
      <c r="N136" s="5">
        <v>2218674280000</v>
      </c>
      <c r="O136" s="5">
        <v>1633837222000</v>
      </c>
      <c r="P136" s="5">
        <v>1874578431000</v>
      </c>
      <c r="Q136" s="5">
        <v>1379176412000</v>
      </c>
      <c r="R136" s="5">
        <v>1015391750000</v>
      </c>
      <c r="S136" s="5">
        <v>488904984000</v>
      </c>
      <c r="T136" s="5">
        <v>391684676000</v>
      </c>
      <c r="U136" s="5">
        <v>157236346000</v>
      </c>
      <c r="V136" s="5">
        <v>890602351000</v>
      </c>
      <c r="W136" s="5">
        <v>1567957001000</v>
      </c>
      <c r="X136" s="5">
        <v>2004573531000</v>
      </c>
      <c r="Y136" s="5">
        <v>1004174188000</v>
      </c>
      <c r="Z136" s="5">
        <v>1137316193000</v>
      </c>
    </row>
    <row r="137" spans="2:26" ht="15.5" x14ac:dyDescent="0.35">
      <c r="C137" t="s">
        <v>141</v>
      </c>
      <c r="D137" s="5">
        <v>30616723000000</v>
      </c>
      <c r="E137" s="5">
        <v>12333977000000</v>
      </c>
      <c r="F137" s="5">
        <v>11801814000000</v>
      </c>
      <c r="G137" s="5">
        <v>29357817000000</v>
      </c>
      <c r="I137" s="5">
        <v>80569649000000</v>
      </c>
      <c r="J137" s="5">
        <v>72444817000000</v>
      </c>
      <c r="K137" s="5">
        <v>42004017000000</v>
      </c>
      <c r="L137" s="5">
        <v>45065127000000</v>
      </c>
      <c r="M137" s="5">
        <v>38780292000000</v>
      </c>
      <c r="N137" s="5">
        <v>27417076150000</v>
      </c>
      <c r="O137" s="5">
        <v>32502238389000</v>
      </c>
      <c r="P137" s="5">
        <v>25547387115000</v>
      </c>
      <c r="Q137" s="5">
        <v>12239306888000</v>
      </c>
      <c r="R137" s="5">
        <v>8841691124000</v>
      </c>
      <c r="S137" s="5">
        <v>11099298878000</v>
      </c>
      <c r="T137" s="5">
        <v>9372115558000</v>
      </c>
      <c r="U137" s="5">
        <v>12100310592000</v>
      </c>
      <c r="V137" s="5">
        <v>10058244598000</v>
      </c>
      <c r="W137" s="5">
        <v>10762308459000</v>
      </c>
      <c r="X137" s="5">
        <v>7919932022000</v>
      </c>
      <c r="Y137" s="5">
        <v>8338364981000</v>
      </c>
      <c r="Z137" s="5">
        <v>10699250207000</v>
      </c>
    </row>
    <row r="138" spans="2:26" ht="15.5" x14ac:dyDescent="0.35">
      <c r="C138" t="s">
        <v>142</v>
      </c>
      <c r="D138" s="5">
        <v>69104000000</v>
      </c>
      <c r="E138" s="5">
        <v>65638000000</v>
      </c>
      <c r="F138" s="5">
        <v>80175000000</v>
      </c>
      <c r="G138" s="5">
        <v>129696000000</v>
      </c>
      <c r="I138" s="5">
        <v>365167000000</v>
      </c>
      <c r="J138" s="5">
        <v>412657000000</v>
      </c>
      <c r="K138" s="5">
        <v>170524000000</v>
      </c>
      <c r="L138" s="5">
        <v>74315000000</v>
      </c>
      <c r="M138" s="5">
        <v>76238000000</v>
      </c>
      <c r="N138" s="5">
        <v>81141670000</v>
      </c>
      <c r="O138" s="5">
        <v>96157723000</v>
      </c>
      <c r="P138" s="5">
        <v>165630043000</v>
      </c>
      <c r="Q138" s="5">
        <v>262588507000</v>
      </c>
      <c r="R138" s="5">
        <v>335506495000</v>
      </c>
      <c r="S138" s="5">
        <v>66926702000</v>
      </c>
      <c r="T138" s="5">
        <v>69142290000</v>
      </c>
      <c r="U138" s="5">
        <v>85768689000</v>
      </c>
      <c r="V138" s="5">
        <v>174170208000</v>
      </c>
      <c r="W138" s="5">
        <v>66115082000</v>
      </c>
      <c r="X138" s="5">
        <v>60504874000</v>
      </c>
      <c r="Y138" s="5">
        <v>155983781000</v>
      </c>
      <c r="Z138" s="5">
        <v>170334263000</v>
      </c>
    </row>
    <row r="139" spans="2:26" ht="15.5" x14ac:dyDescent="0.35">
      <c r="C139" t="s">
        <v>377</v>
      </c>
      <c r="E139" s="5">
        <v>25578000000</v>
      </c>
      <c r="F139" s="5">
        <v>458525000000</v>
      </c>
      <c r="I139" s="5">
        <v>484103000000</v>
      </c>
      <c r="J139" s="5">
        <v>65261000000</v>
      </c>
      <c r="K139" s="5">
        <v>450789000000</v>
      </c>
      <c r="L139" s="5">
        <v>164583000000</v>
      </c>
      <c r="M139" s="5">
        <v>407990000000</v>
      </c>
      <c r="N139" s="5">
        <v>412911627000</v>
      </c>
      <c r="O139" s="5">
        <v>353918278000</v>
      </c>
    </row>
    <row r="140" spans="2:26" ht="15.5" x14ac:dyDescent="0.35">
      <c r="C140" t="s">
        <v>143</v>
      </c>
      <c r="D140" s="5">
        <v>-31951899000000</v>
      </c>
      <c r="E140" s="5">
        <v>-10042732000000</v>
      </c>
      <c r="F140" s="5">
        <v>-9326738000000</v>
      </c>
      <c r="G140" s="5">
        <v>-27450608000000</v>
      </c>
      <c r="I140" s="5">
        <v>-70110592000000</v>
      </c>
      <c r="J140" s="5">
        <v>-62970785000000</v>
      </c>
      <c r="K140" s="5">
        <v>-32510012000000</v>
      </c>
      <c r="L140" s="5">
        <v>-36041200000000</v>
      </c>
      <c r="M140" s="5">
        <v>-29620228000000</v>
      </c>
      <c r="N140" s="5">
        <v>-22631109192000</v>
      </c>
      <c r="O140" s="5">
        <v>-28289848891000</v>
      </c>
      <c r="P140" s="5">
        <v>-21393706262000</v>
      </c>
      <c r="Q140" s="5">
        <v>-9772810344000</v>
      </c>
      <c r="R140" s="5">
        <v>-7278447325000</v>
      </c>
      <c r="S140" s="5">
        <v>-9757388947000</v>
      </c>
      <c r="T140" s="5">
        <v>-8126101763000</v>
      </c>
      <c r="U140" s="5">
        <v>-10154298982000</v>
      </c>
      <c r="V140" s="5">
        <v>-5906479723000</v>
      </c>
      <c r="W140" s="5">
        <v>-7437952568000</v>
      </c>
      <c r="X140" s="5">
        <v>-5308406714000</v>
      </c>
      <c r="Y140" s="5">
        <v>-6746307851000</v>
      </c>
      <c r="Z140" s="5">
        <v>-7034467154000</v>
      </c>
    </row>
    <row r="141" spans="2:26" ht="15.5" x14ac:dyDescent="0.35">
      <c r="C141" t="s">
        <v>378</v>
      </c>
      <c r="D141" s="5">
        <v>-947131000000</v>
      </c>
      <c r="E141" s="5">
        <v>-567520000000</v>
      </c>
      <c r="F141" s="5">
        <v>-345055000000</v>
      </c>
      <c r="G141" s="5">
        <v>-503285000000</v>
      </c>
      <c r="I141" s="5">
        <v>-2112148000000</v>
      </c>
      <c r="J141" s="5">
        <v>-2053906000000</v>
      </c>
      <c r="K141" s="5">
        <v>-2280373000000</v>
      </c>
      <c r="L141" s="5">
        <v>-1670046000000</v>
      </c>
      <c r="M141" s="5">
        <v>-2305659000000</v>
      </c>
      <c r="N141" s="5">
        <v>-1611712979000</v>
      </c>
      <c r="O141" s="5">
        <v>-1549571203000</v>
      </c>
      <c r="P141" s="5">
        <v>-1224228892000</v>
      </c>
      <c r="Q141" s="5">
        <v>-916259496000</v>
      </c>
      <c r="R141" s="5">
        <v>-860793576000</v>
      </c>
      <c r="S141" s="5">
        <v>-914685014000</v>
      </c>
      <c r="T141" s="5">
        <v>-979300745000</v>
      </c>
      <c r="U141" s="5">
        <v>-1070706960000</v>
      </c>
      <c r="V141" s="5">
        <v>-2415277493000</v>
      </c>
      <c r="W141" s="5">
        <v>-936878854000</v>
      </c>
      <c r="X141" s="5">
        <v>-647017176000</v>
      </c>
      <c r="Y141" s="5">
        <v>-665717026000</v>
      </c>
      <c r="Z141" s="5">
        <v>-756754778000</v>
      </c>
    </row>
    <row r="142" spans="2:26" ht="15.5" x14ac:dyDescent="0.35">
      <c r="C142" t="s">
        <v>341</v>
      </c>
      <c r="D142" s="5">
        <v>-340660000000</v>
      </c>
      <c r="E142" s="5">
        <v>-1766359000000</v>
      </c>
      <c r="G142" s="5">
        <v>574778000000</v>
      </c>
      <c r="I142" s="5">
        <v>-1766359000000</v>
      </c>
      <c r="J142" s="5">
        <v>-2192984000000</v>
      </c>
      <c r="K142" s="5">
        <v>-1005688000000</v>
      </c>
      <c r="L142" s="5">
        <v>-1590785000000</v>
      </c>
      <c r="M142" s="5">
        <v>-1092873000000</v>
      </c>
      <c r="N142" s="5">
        <v>-335390894000</v>
      </c>
      <c r="O142" s="5">
        <v>-734464694000</v>
      </c>
      <c r="P142" s="5">
        <v>-551348245000</v>
      </c>
      <c r="Q142" s="5">
        <v>-195949984000</v>
      </c>
      <c r="R142" s="5">
        <v>-99862217000</v>
      </c>
      <c r="S142" s="5">
        <v>-145946527000</v>
      </c>
      <c r="T142" s="5">
        <v>-202969401000</v>
      </c>
      <c r="U142" s="5">
        <v>-467808240000</v>
      </c>
      <c r="V142" s="5">
        <v>-904884217000</v>
      </c>
      <c r="W142" s="5">
        <v>-1061311374000</v>
      </c>
      <c r="X142" s="5">
        <v>-379534789000</v>
      </c>
      <c r="Y142" s="5">
        <v>-242973768000</v>
      </c>
      <c r="Z142" s="5">
        <v>-1990740752000</v>
      </c>
    </row>
    <row r="143" spans="2:26" ht="15.5" x14ac:dyDescent="0.35">
      <c r="C143" t="s">
        <v>178</v>
      </c>
      <c r="E143" s="5">
        <v>48873000000</v>
      </c>
      <c r="F143" s="5">
        <v>-48873000000</v>
      </c>
    </row>
    <row r="144" spans="2:26" ht="15.5" x14ac:dyDescent="0.35">
      <c r="C144" t="s">
        <v>379</v>
      </c>
      <c r="D144" s="5">
        <v>-554378000000</v>
      </c>
      <c r="G144" s="5">
        <v>449413000000</v>
      </c>
      <c r="N144" s="5">
        <v>-437196524000</v>
      </c>
      <c r="O144" s="5">
        <v>-313606867000</v>
      </c>
      <c r="P144" s="5">
        <v>-312762511000</v>
      </c>
      <c r="Q144" s="5">
        <v>-174112420000</v>
      </c>
    </row>
    <row r="145" spans="3:26" ht="15.5" x14ac:dyDescent="0.35">
      <c r="C145" t="s">
        <v>380</v>
      </c>
      <c r="E145" s="5">
        <v>1403335000000</v>
      </c>
      <c r="F145" s="5">
        <v>-221237000000</v>
      </c>
      <c r="G145" s="5">
        <v>-1182098000000</v>
      </c>
    </row>
    <row r="146" spans="3:26" ht="15.5" x14ac:dyDescent="0.35">
      <c r="C146" t="s">
        <v>381</v>
      </c>
      <c r="E146" s="5">
        <v>-637685000000</v>
      </c>
      <c r="F146" s="5">
        <v>-611100000000</v>
      </c>
      <c r="G146" s="5">
        <v>-1116870000000</v>
      </c>
      <c r="I146" s="5">
        <v>-2365655000000</v>
      </c>
      <c r="J146" s="5">
        <v>-1613093000000</v>
      </c>
      <c r="K146" s="5">
        <v>-2012611000000</v>
      </c>
      <c r="L146" s="5">
        <v>-1448745000000</v>
      </c>
      <c r="M146" s="5">
        <v>-1063503000000</v>
      </c>
    </row>
    <row r="147" spans="3:26" ht="15.5" x14ac:dyDescent="0.35">
      <c r="C147" t="s">
        <v>382</v>
      </c>
      <c r="D147" s="5">
        <v>-45928000000</v>
      </c>
      <c r="E147" s="5">
        <v>-23512000000</v>
      </c>
      <c r="F147" s="5">
        <v>-14341000000</v>
      </c>
      <c r="I147" s="5">
        <v>-37853000000</v>
      </c>
      <c r="J147" s="5">
        <v>-130153000000</v>
      </c>
      <c r="K147" s="5">
        <v>-226414000000</v>
      </c>
      <c r="L147" s="5">
        <v>-189182000000</v>
      </c>
      <c r="M147" s="5">
        <v>-297829000000</v>
      </c>
      <c r="N147" s="5">
        <v>-400293200000</v>
      </c>
      <c r="O147" s="5">
        <v>-530882408000</v>
      </c>
      <c r="P147" s="5">
        <v>-524548812000</v>
      </c>
      <c r="Q147" s="5">
        <v>-484229818000</v>
      </c>
      <c r="R147" s="5">
        <v>-505710587000</v>
      </c>
      <c r="S147" s="5">
        <v>-527461401000</v>
      </c>
      <c r="T147" s="5">
        <v>-375755378000</v>
      </c>
      <c r="U147" s="5">
        <v>-317054555000</v>
      </c>
      <c r="V147" s="5">
        <v>-273892532000</v>
      </c>
      <c r="W147" s="5">
        <v>-10897724000</v>
      </c>
      <c r="X147" s="5">
        <v>-12342513000</v>
      </c>
      <c r="Y147" s="5">
        <v>-48060861000</v>
      </c>
      <c r="Z147" s="5">
        <v>-49324454000</v>
      </c>
    </row>
    <row r="148" spans="3:26" ht="15.5" x14ac:dyDescent="0.35">
      <c r="C148" t="s">
        <v>383</v>
      </c>
      <c r="N148" s="5">
        <v>-161142729000</v>
      </c>
    </row>
    <row r="149" spans="3:26" ht="15.5" x14ac:dyDescent="0.35">
      <c r="C149" t="s">
        <v>384</v>
      </c>
    </row>
    <row r="150" spans="3:26" ht="15.5" x14ac:dyDescent="0.35">
      <c r="C150" t="s">
        <v>385</v>
      </c>
      <c r="E150" s="5">
        <v>-55239000000</v>
      </c>
      <c r="G150" s="5">
        <v>-73599000000</v>
      </c>
      <c r="I150" s="5">
        <v>-186502000000</v>
      </c>
      <c r="J150" s="5">
        <v>-229614000000</v>
      </c>
      <c r="K150" s="5">
        <v>-189244000000</v>
      </c>
      <c r="L150" s="5">
        <v>-180613000000</v>
      </c>
      <c r="M150" s="5">
        <v>-184253000000</v>
      </c>
      <c r="N150" s="5">
        <v>-140215771000</v>
      </c>
    </row>
    <row r="151" spans="3:26" ht="15.5" x14ac:dyDescent="0.35">
      <c r="C151" t="s">
        <v>386</v>
      </c>
      <c r="Q151" s="5">
        <v>233963560000</v>
      </c>
    </row>
    <row r="152" spans="3:26" ht="15.5" x14ac:dyDescent="0.35">
      <c r="C152" t="s">
        <v>387</v>
      </c>
      <c r="K152" s="5">
        <v>4598000000</v>
      </c>
      <c r="L152" s="5">
        <v>2462000000</v>
      </c>
      <c r="M152" s="5">
        <v>44670000000</v>
      </c>
      <c r="N152" s="5">
        <v>49077213000</v>
      </c>
      <c r="Y152" s="5">
        <v>119126316000</v>
      </c>
      <c r="Z152" s="5">
        <v>15845655000</v>
      </c>
    </row>
    <row r="153" spans="3:26" ht="15.5" x14ac:dyDescent="0.35">
      <c r="C153" t="s">
        <v>388</v>
      </c>
    </row>
    <row r="154" spans="3:26" ht="15.5" x14ac:dyDescent="0.35">
      <c r="C154" t="s">
        <v>389</v>
      </c>
      <c r="T154" s="5">
        <v>89568477000</v>
      </c>
      <c r="U154" s="5">
        <v>-26118857000</v>
      </c>
      <c r="V154" s="5">
        <v>7698167000</v>
      </c>
      <c r="W154" s="5">
        <v>13135272000</v>
      </c>
      <c r="X154" s="5">
        <v>27989166000</v>
      </c>
      <c r="Y154" s="5">
        <v>34849181000</v>
      </c>
      <c r="Z154" s="5">
        <v>-158549964000</v>
      </c>
    </row>
    <row r="155" spans="3:26" ht="15.5" x14ac:dyDescent="0.35">
      <c r="C155" t="s">
        <v>390</v>
      </c>
      <c r="E155" s="5">
        <v>35623000000</v>
      </c>
      <c r="F155" s="5">
        <v>-28568000000</v>
      </c>
      <c r="G155" s="5">
        <v>7937000000</v>
      </c>
      <c r="J155" s="5">
        <v>-69881000000</v>
      </c>
      <c r="K155" s="5">
        <v>-78219000000</v>
      </c>
      <c r="L155" s="5">
        <v>-81800000000</v>
      </c>
      <c r="M155" s="5">
        <v>-109357000000</v>
      </c>
      <c r="N155" s="5">
        <v>-31114353000</v>
      </c>
      <c r="O155" s="5">
        <v>13462715000</v>
      </c>
      <c r="P155" s="5">
        <v>69347686000</v>
      </c>
      <c r="Q155" s="5">
        <v>44233770000</v>
      </c>
      <c r="R155" s="5">
        <v>38979028000</v>
      </c>
      <c r="S155" s="5">
        <v>151881195000</v>
      </c>
      <c r="T155" s="5">
        <v>-83371259000</v>
      </c>
      <c r="U155" s="5">
        <v>-43458683000</v>
      </c>
      <c r="V155" s="5">
        <v>-38554658000</v>
      </c>
      <c r="W155" s="5">
        <v>40492164000</v>
      </c>
      <c r="X155" s="5">
        <v>-22791626000</v>
      </c>
      <c r="Y155" s="5">
        <v>-11960792000</v>
      </c>
      <c r="Z155" s="5">
        <v>150988988000</v>
      </c>
    </row>
    <row r="156" spans="3:26" ht="15.5" x14ac:dyDescent="0.35">
      <c r="C156" t="s">
        <v>391</v>
      </c>
    </row>
    <row r="157" spans="3:26" ht="15.5" x14ac:dyDescent="0.35">
      <c r="C157" t="s">
        <v>152</v>
      </c>
      <c r="D157" s="5">
        <v>4109867000000</v>
      </c>
      <c r="E157" s="5">
        <v>458972000000</v>
      </c>
      <c r="F157" s="5">
        <v>-353970000000</v>
      </c>
      <c r="G157" s="5">
        <v>219010000000</v>
      </c>
      <c r="I157" s="5">
        <v>299870000000</v>
      </c>
      <c r="J157" s="5">
        <v>-5720858000000</v>
      </c>
      <c r="K157" s="5">
        <v>-2427768000000</v>
      </c>
      <c r="L157" s="5">
        <v>-4077783000000</v>
      </c>
      <c r="M157" s="5">
        <v>-2221595000000</v>
      </c>
      <c r="N157" s="5">
        <v>-1218455889000</v>
      </c>
      <c r="O157" s="5">
        <v>-1363159711000</v>
      </c>
      <c r="P157" s="5">
        <v>-619759898000</v>
      </c>
      <c r="Q157" s="5">
        <v>-568358413000</v>
      </c>
      <c r="R157" s="5">
        <v>-26840072000</v>
      </c>
      <c r="S157" s="5">
        <v>6887375528000</v>
      </c>
      <c r="T157" s="5">
        <v>956082001000</v>
      </c>
      <c r="U157" s="5">
        <v>887255635000</v>
      </c>
      <c r="V157" s="5">
        <v>694416788000</v>
      </c>
      <c r="W157" s="5">
        <v>1535129650000</v>
      </c>
      <c r="X157" s="5">
        <v>42875112000</v>
      </c>
      <c r="Y157" s="5">
        <v>-800459116000</v>
      </c>
      <c r="Z157" s="5">
        <v>-2361531312000</v>
      </c>
    </row>
    <row r="158" spans="3:26" ht="15.5" x14ac:dyDescent="0.35">
      <c r="C158" t="s">
        <v>153</v>
      </c>
      <c r="D158" s="5">
        <v>-349658000000</v>
      </c>
      <c r="E158" s="5">
        <v>-2099695000000</v>
      </c>
      <c r="F158" s="5">
        <v>-2695377000000</v>
      </c>
      <c r="G158" s="5">
        <v>3205681000000</v>
      </c>
      <c r="I158" s="5">
        <v>-1506766000000</v>
      </c>
      <c r="J158" s="5">
        <v>-2637219000000</v>
      </c>
      <c r="K158" s="5">
        <v>2865002000000</v>
      </c>
      <c r="L158" s="5">
        <v>-783125000000</v>
      </c>
      <c r="M158" s="5">
        <v>-1729827000000</v>
      </c>
      <c r="N158" s="5">
        <v>-567381567000</v>
      </c>
      <c r="O158" s="5">
        <v>-885313400000</v>
      </c>
      <c r="P158" s="5">
        <v>-2593809364000</v>
      </c>
      <c r="Q158" s="5">
        <v>-2890561357000</v>
      </c>
      <c r="R158" s="5">
        <v>-1382046458000</v>
      </c>
      <c r="S158" s="5">
        <v>-2103884552000</v>
      </c>
      <c r="T158" s="5">
        <v>-1639021756000</v>
      </c>
      <c r="U158" s="5">
        <v>-2647226091000</v>
      </c>
      <c r="V158" s="5">
        <v>-3495941139000</v>
      </c>
      <c r="W158" s="5">
        <v>-1609433549000</v>
      </c>
      <c r="X158" s="5">
        <v>-430014991000</v>
      </c>
      <c r="Y158" s="5">
        <v>-464963515000</v>
      </c>
      <c r="Z158" s="5">
        <v>-359230649000</v>
      </c>
    </row>
    <row r="159" spans="3:26" ht="15.5" x14ac:dyDescent="0.35">
      <c r="C159" t="s">
        <v>392</v>
      </c>
      <c r="E159" s="5">
        <v>181755000000</v>
      </c>
      <c r="I159" s="5">
        <v>181755000000</v>
      </c>
      <c r="J159" s="5">
        <v>569042000000</v>
      </c>
      <c r="K159" s="5">
        <v>1263395000000</v>
      </c>
      <c r="O159" s="5">
        <v>331724138000</v>
      </c>
      <c r="P159" s="5">
        <v>219692558000</v>
      </c>
      <c r="Q159" s="5">
        <v>171944592000</v>
      </c>
      <c r="R159" s="5">
        <v>87317417000</v>
      </c>
      <c r="S159" s="5">
        <v>226172252000</v>
      </c>
      <c r="T159" s="5">
        <v>437105650000</v>
      </c>
      <c r="U159" s="5">
        <v>69034671000</v>
      </c>
      <c r="V159" s="5">
        <v>323221931000</v>
      </c>
      <c r="W159" s="5">
        <v>325585041000</v>
      </c>
      <c r="X159" s="5">
        <v>343388915000</v>
      </c>
      <c r="Y159" s="5">
        <v>138403686000</v>
      </c>
      <c r="Z159" s="5">
        <v>165064391000</v>
      </c>
    </row>
    <row r="160" spans="3:26" ht="15.5" x14ac:dyDescent="0.35">
      <c r="C160" t="s">
        <v>164</v>
      </c>
      <c r="D160" s="5">
        <v>-853924000000</v>
      </c>
      <c r="E160" s="5">
        <v>252217000000</v>
      </c>
      <c r="G160" s="5">
        <v>-200000000000</v>
      </c>
      <c r="K160" s="5">
        <v>-6398246000000</v>
      </c>
      <c r="L160" s="5">
        <v>-2316950000000</v>
      </c>
      <c r="M160" s="5">
        <v>-963918000000</v>
      </c>
    </row>
    <row r="161" spans="3:26" ht="15.5" x14ac:dyDescent="0.35">
      <c r="C161" t="s">
        <v>393</v>
      </c>
      <c r="D161" s="5">
        <v>610000000000</v>
      </c>
      <c r="E161" s="5">
        <v>-2426575000000</v>
      </c>
      <c r="F161" s="5">
        <v>86034000000</v>
      </c>
      <c r="G161" s="5">
        <v>4100605000000</v>
      </c>
      <c r="I161" s="5">
        <v>2188017000000</v>
      </c>
      <c r="J161" s="5">
        <v>559963000000</v>
      </c>
      <c r="K161" s="5">
        <v>2244787000000</v>
      </c>
      <c r="L161" s="5">
        <v>2308826000000</v>
      </c>
    </row>
    <row r="162" spans="3:26" ht="15.5" x14ac:dyDescent="0.35">
      <c r="C162" t="s">
        <v>394</v>
      </c>
      <c r="P162" s="5">
        <v>368850000000</v>
      </c>
    </row>
    <row r="163" spans="3:26" ht="15.5" x14ac:dyDescent="0.35">
      <c r="C163" t="s">
        <v>160</v>
      </c>
      <c r="D163" s="5">
        <v>-74735000000</v>
      </c>
      <c r="E163" s="5">
        <v>-169187000000</v>
      </c>
      <c r="F163" s="5">
        <v>-66240000000</v>
      </c>
      <c r="G163" s="5">
        <v>32993000000</v>
      </c>
      <c r="I163" s="5">
        <v>-430528000000</v>
      </c>
      <c r="J163" s="5">
        <v>-972085000000</v>
      </c>
      <c r="K163" s="5">
        <v>-1226904000000</v>
      </c>
      <c r="L163" s="5">
        <v>-627748000000</v>
      </c>
      <c r="M163" s="5">
        <v>-429060000000</v>
      </c>
      <c r="N163" s="5">
        <v>-506759269000</v>
      </c>
      <c r="O163" s="5">
        <v>-1137324142000</v>
      </c>
      <c r="P163" s="5">
        <v>-2137853867000</v>
      </c>
      <c r="Q163" s="5">
        <v>-2321508104000</v>
      </c>
      <c r="R163" s="5">
        <v>-1176884041000</v>
      </c>
      <c r="S163" s="5">
        <v>-1737740720000</v>
      </c>
      <c r="T163" s="5">
        <v>-2029767918000</v>
      </c>
      <c r="U163" s="5">
        <v>-2442914390000</v>
      </c>
      <c r="V163" s="5">
        <v>-2249361358000</v>
      </c>
      <c r="W163" s="5">
        <v>-675402832000</v>
      </c>
      <c r="X163" s="5">
        <v>-560340434000</v>
      </c>
      <c r="Y163" s="5">
        <v>-449433519000</v>
      </c>
      <c r="Z163" s="5">
        <v>-302385936000</v>
      </c>
    </row>
    <row r="164" spans="3:26" ht="15.5" x14ac:dyDescent="0.35">
      <c r="C164" t="s">
        <v>395</v>
      </c>
      <c r="D164" s="5">
        <v>-8778000000</v>
      </c>
      <c r="E164" s="5">
        <v>39034000000</v>
      </c>
      <c r="F164" s="5">
        <v>-31025000000</v>
      </c>
      <c r="G164" s="5">
        <v>-19496000000</v>
      </c>
      <c r="I164" s="5">
        <v>-32682000000</v>
      </c>
      <c r="J164" s="5">
        <v>-45351000000</v>
      </c>
    </row>
    <row r="165" spans="3:26" ht="15.5" x14ac:dyDescent="0.35">
      <c r="C165" t="s">
        <v>396</v>
      </c>
      <c r="S165" s="5">
        <v>-285447834000</v>
      </c>
      <c r="W165" s="5">
        <v>-962169891000</v>
      </c>
    </row>
    <row r="166" spans="3:26" ht="15.5" x14ac:dyDescent="0.35">
      <c r="C166" t="s">
        <v>397</v>
      </c>
      <c r="L166" s="5">
        <v>-64000000000</v>
      </c>
      <c r="M166" s="5">
        <v>-258951000000</v>
      </c>
      <c r="N166" s="5">
        <v>-190000000000</v>
      </c>
      <c r="O166" s="5">
        <v>-50000000000</v>
      </c>
      <c r="P166" s="5">
        <v>-80051000000</v>
      </c>
      <c r="Q166" s="5">
        <v>-15000000000</v>
      </c>
    </row>
    <row r="167" spans="3:26" ht="15.5" x14ac:dyDescent="0.35">
      <c r="C167" t="s">
        <v>398</v>
      </c>
      <c r="E167" s="5">
        <v>3407326000000</v>
      </c>
      <c r="F167" s="5">
        <v>-3407326000000</v>
      </c>
      <c r="K167" s="5">
        <v>-38250000000</v>
      </c>
    </row>
    <row r="168" spans="3:26" ht="15.5" x14ac:dyDescent="0.35">
      <c r="C168" t="s">
        <v>399</v>
      </c>
      <c r="K168" s="5">
        <v>7232659000000</v>
      </c>
    </row>
    <row r="169" spans="3:26" ht="15.5" x14ac:dyDescent="0.35">
      <c r="C169" t="s">
        <v>400</v>
      </c>
      <c r="E169" s="5">
        <v>219357000000</v>
      </c>
      <c r="I169" s="5">
        <v>219357000000</v>
      </c>
      <c r="J169" s="5">
        <v>460180000000</v>
      </c>
    </row>
    <row r="170" spans="3:26" ht="15.5" x14ac:dyDescent="0.35">
      <c r="C170" t="s">
        <v>401</v>
      </c>
    </row>
    <row r="171" spans="3:26" ht="15.5" x14ac:dyDescent="0.35">
      <c r="C171" t="s">
        <v>402</v>
      </c>
    </row>
    <row r="172" spans="3:26" ht="15.5" x14ac:dyDescent="0.35">
      <c r="C172" t="s">
        <v>403</v>
      </c>
      <c r="D172" s="5">
        <v>-388000000</v>
      </c>
      <c r="K172" s="5">
        <v>-5920000000</v>
      </c>
      <c r="L172" s="5">
        <v>-10826000000</v>
      </c>
    </row>
    <row r="173" spans="3:26" ht="15.5" x14ac:dyDescent="0.35">
      <c r="C173" t="s">
        <v>404</v>
      </c>
    </row>
    <row r="174" spans="3:26" ht="15.5" x14ac:dyDescent="0.35">
      <c r="C174" t="s">
        <v>405</v>
      </c>
      <c r="E174" s="5">
        <v>-98436000000</v>
      </c>
      <c r="G174" s="5">
        <v>98436000000</v>
      </c>
    </row>
    <row r="175" spans="3:26" ht="15.5" x14ac:dyDescent="0.35">
      <c r="C175" t="s">
        <v>406</v>
      </c>
      <c r="D175" s="5">
        <v>-21833000000</v>
      </c>
      <c r="E175" s="5">
        <v>-97861000000</v>
      </c>
      <c r="F175" s="5">
        <v>-45394000000</v>
      </c>
      <c r="G175" s="5">
        <v>-49076000000</v>
      </c>
      <c r="I175" s="5">
        <v>-236153000000</v>
      </c>
      <c r="J175" s="5">
        <v>-206830000000</v>
      </c>
      <c r="K175" s="5">
        <v>-206519000000</v>
      </c>
      <c r="L175" s="5">
        <v>-62042000000</v>
      </c>
      <c r="M175" s="5">
        <v>-71788000000</v>
      </c>
      <c r="N175" s="5">
        <v>-57927942000</v>
      </c>
      <c r="O175" s="5">
        <v>-83595648000</v>
      </c>
      <c r="P175" s="5">
        <v>-4847510000</v>
      </c>
      <c r="Q175" s="5">
        <v>-3081983000</v>
      </c>
      <c r="R175" s="5">
        <v>-40877130000</v>
      </c>
      <c r="S175" s="5">
        <v>-55749476000</v>
      </c>
      <c r="T175" s="5">
        <v>-2397467000</v>
      </c>
      <c r="U175" s="5">
        <v>-125085489000</v>
      </c>
      <c r="V175" s="5">
        <v>-30201619000</v>
      </c>
      <c r="W175" s="5">
        <v>-223674915000</v>
      </c>
      <c r="X175" s="5">
        <v>-120959942000</v>
      </c>
      <c r="Y175" s="5">
        <v>-126178079000</v>
      </c>
      <c r="Z175" s="5">
        <v>-187035485000</v>
      </c>
    </row>
    <row r="176" spans="3:26" ht="15.5" x14ac:dyDescent="0.35">
      <c r="C176" t="s">
        <v>163</v>
      </c>
      <c r="O176" s="5">
        <v>-14467291000</v>
      </c>
      <c r="P176" s="5">
        <v>-1416126000</v>
      </c>
      <c r="Q176" s="5">
        <v>-27697963000</v>
      </c>
      <c r="R176" s="5">
        <v>-1581310000</v>
      </c>
      <c r="S176" s="5">
        <v>-7335622000</v>
      </c>
      <c r="T176" s="5">
        <v>-35352736000</v>
      </c>
      <c r="U176" s="5">
        <v>-112028707000</v>
      </c>
      <c r="V176" s="5">
        <v>-281299305000</v>
      </c>
    </row>
    <row r="177" spans="3:26" ht="15.5" x14ac:dyDescent="0.35">
      <c r="C177" t="s">
        <v>158</v>
      </c>
      <c r="E177" s="5">
        <v>1000000</v>
      </c>
      <c r="F177" s="5">
        <v>10793000000</v>
      </c>
      <c r="I177" s="5">
        <v>10794000000</v>
      </c>
      <c r="M177" s="5">
        <v>4477000000</v>
      </c>
      <c r="N177" s="5">
        <v>71731045000</v>
      </c>
      <c r="O177" s="5">
        <v>69272357000</v>
      </c>
      <c r="Q177" s="5">
        <v>2277201000</v>
      </c>
      <c r="R177" s="5">
        <v>475225000</v>
      </c>
      <c r="W177" s="5">
        <v>82797300000</v>
      </c>
      <c r="Z177" s="5">
        <v>1855000000</v>
      </c>
    </row>
    <row r="178" spans="3:26" ht="15.5" x14ac:dyDescent="0.35">
      <c r="C178" t="s">
        <v>407</v>
      </c>
      <c r="U178" s="5">
        <v>-33732176000</v>
      </c>
    </row>
    <row r="179" spans="3:26" ht="15.5" x14ac:dyDescent="0.35">
      <c r="C179" t="s">
        <v>408</v>
      </c>
    </row>
    <row r="180" spans="3:26" ht="15.5" x14ac:dyDescent="0.35">
      <c r="C180" t="s">
        <v>409</v>
      </c>
    </row>
    <row r="181" spans="3:26" ht="15.5" x14ac:dyDescent="0.35">
      <c r="C181" t="s">
        <v>410</v>
      </c>
    </row>
    <row r="182" spans="3:26" ht="15.5" x14ac:dyDescent="0.35">
      <c r="C182" t="s">
        <v>411</v>
      </c>
      <c r="P182" s="5">
        <v>326458000000</v>
      </c>
      <c r="Q182" s="5">
        <v>11250000000</v>
      </c>
    </row>
    <row r="183" spans="3:26" ht="15.5" x14ac:dyDescent="0.35">
      <c r="C183" t="s">
        <v>412</v>
      </c>
      <c r="L183" s="5">
        <v>-10385000000</v>
      </c>
      <c r="M183" s="5">
        <v>-10587000000</v>
      </c>
      <c r="N183" s="5">
        <v>-7717658000</v>
      </c>
      <c r="O183" s="5">
        <v>-922814000</v>
      </c>
      <c r="P183" s="5">
        <v>-18917895000</v>
      </c>
      <c r="Q183" s="5">
        <v>-12244137000</v>
      </c>
      <c r="R183" s="5">
        <v>-11201793000</v>
      </c>
      <c r="S183" s="5">
        <v>-20078851000</v>
      </c>
      <c r="T183" s="5">
        <v>-8581785000</v>
      </c>
      <c r="Y183" s="5">
        <v>-8764494000</v>
      </c>
      <c r="Z183" s="5">
        <v>-10461638000</v>
      </c>
    </row>
    <row r="184" spans="3:26" ht="15.5" x14ac:dyDescent="0.35">
      <c r="C184" t="s">
        <v>413</v>
      </c>
      <c r="P184" s="5">
        <v>-30028420000</v>
      </c>
    </row>
    <row r="185" spans="3:26" ht="15.5" x14ac:dyDescent="0.35">
      <c r="C185" t="s">
        <v>414</v>
      </c>
      <c r="P185" s="5">
        <v>-368850000000</v>
      </c>
    </row>
    <row r="186" spans="3:26" ht="15.5" x14ac:dyDescent="0.35">
      <c r="C186" t="s">
        <v>415</v>
      </c>
    </row>
    <row r="187" spans="3:26" ht="15.5" x14ac:dyDescent="0.35">
      <c r="C187" t="s">
        <v>416</v>
      </c>
    </row>
    <row r="188" spans="3:26" ht="15.5" x14ac:dyDescent="0.35">
      <c r="C188" t="s">
        <v>417</v>
      </c>
    </row>
    <row r="189" spans="3:26" ht="15.5" x14ac:dyDescent="0.35">
      <c r="C189" t="s">
        <v>418</v>
      </c>
      <c r="J189" s="5">
        <v>-406136000000</v>
      </c>
      <c r="P189" s="5">
        <v>-782516038000</v>
      </c>
      <c r="Q189" s="5">
        <v>-696500963000</v>
      </c>
      <c r="R189" s="5">
        <v>-239294826000</v>
      </c>
      <c r="S189" s="5">
        <v>-223654301000</v>
      </c>
    </row>
    <row r="190" spans="3:26" ht="15.5" x14ac:dyDescent="0.35">
      <c r="C190" t="s">
        <v>419</v>
      </c>
      <c r="P190" s="5">
        <v>284520934000</v>
      </c>
      <c r="W190" s="5">
        <v>-109518890000</v>
      </c>
    </row>
    <row r="191" spans="3:26" ht="15.5" x14ac:dyDescent="0.35">
      <c r="C191" t="s">
        <v>420</v>
      </c>
      <c r="J191" s="5">
        <v>-141837000000</v>
      </c>
    </row>
    <row r="192" spans="3:26" ht="15.5" x14ac:dyDescent="0.35">
      <c r="C192" t="s">
        <v>171</v>
      </c>
      <c r="D192" s="5">
        <v>4109867000000</v>
      </c>
      <c r="E192" s="5">
        <v>458972000000</v>
      </c>
      <c r="F192" s="5">
        <v>-353970000000</v>
      </c>
      <c r="G192" s="5">
        <v>219010000000</v>
      </c>
      <c r="I192" s="5">
        <v>299870000000</v>
      </c>
      <c r="J192" s="5">
        <v>-5720858000000</v>
      </c>
      <c r="K192" s="5">
        <v>-2427768000000</v>
      </c>
      <c r="L192" s="5">
        <v>-4077783000000</v>
      </c>
      <c r="M192" s="5">
        <v>-2221595000000</v>
      </c>
      <c r="N192" s="5">
        <v>-1218455889000</v>
      </c>
      <c r="O192" s="5">
        <v>-1363159711000</v>
      </c>
      <c r="P192" s="5">
        <v>-619759898000</v>
      </c>
      <c r="Q192" s="5">
        <v>-568358413000</v>
      </c>
      <c r="R192" s="5">
        <v>-26840072000</v>
      </c>
      <c r="S192" s="5">
        <v>6887375528000</v>
      </c>
      <c r="T192" s="5">
        <v>956082001000</v>
      </c>
      <c r="U192" s="5">
        <v>887255635000</v>
      </c>
      <c r="V192" s="5">
        <v>694416788000</v>
      </c>
      <c r="W192" s="5">
        <v>1535129650000</v>
      </c>
      <c r="X192" s="5">
        <v>42875112000</v>
      </c>
      <c r="Y192" s="5">
        <v>-800459116000</v>
      </c>
      <c r="Z192" s="5">
        <v>-2361531312000</v>
      </c>
    </row>
    <row r="193" spans="3:26" ht="15.5" x14ac:dyDescent="0.35">
      <c r="C193" t="s">
        <v>421</v>
      </c>
      <c r="D193" s="5">
        <v>8916092000000</v>
      </c>
      <c r="E193" s="5">
        <v>2887150000000</v>
      </c>
      <c r="I193" s="5">
        <v>2887150000000</v>
      </c>
    </row>
    <row r="194" spans="3:26" ht="15.5" x14ac:dyDescent="0.35">
      <c r="C194" t="s">
        <v>422</v>
      </c>
      <c r="M194" s="5">
        <v>1600000000000</v>
      </c>
      <c r="O194" s="5">
        <v>1825317661000</v>
      </c>
    </row>
    <row r="195" spans="3:26" ht="15.5" x14ac:dyDescent="0.35">
      <c r="C195" t="s">
        <v>423</v>
      </c>
      <c r="J195" s="5">
        <v>-1534050000000</v>
      </c>
      <c r="K195" s="5">
        <v>-1267679000000</v>
      </c>
      <c r="L195" s="5">
        <v>-2132164000000</v>
      </c>
      <c r="M195" s="5">
        <v>-1230117000000</v>
      </c>
      <c r="N195" s="5">
        <v>-765009747000</v>
      </c>
      <c r="O195" s="5">
        <v>-2904827111000</v>
      </c>
    </row>
    <row r="196" spans="3:26" ht="15.5" x14ac:dyDescent="0.35">
      <c r="C196" t="s">
        <v>424</v>
      </c>
      <c r="V196" s="5">
        <v>12200000</v>
      </c>
    </row>
    <row r="197" spans="3:26" ht="15.5" x14ac:dyDescent="0.35">
      <c r="C197" t="s">
        <v>425</v>
      </c>
      <c r="E197" s="5">
        <v>-1000000</v>
      </c>
      <c r="F197" s="5">
        <v>-3647210000000</v>
      </c>
      <c r="I197" s="5">
        <v>-3647211000000</v>
      </c>
      <c r="J197" s="5">
        <v>-3077646000000</v>
      </c>
      <c r="K197" s="5">
        <v>-1910482000000</v>
      </c>
      <c r="L197" s="5">
        <v>-930871000000</v>
      </c>
      <c r="M197" s="5">
        <v>-402273000000</v>
      </c>
      <c r="N197" s="5">
        <v>-67847901000</v>
      </c>
      <c r="O197" s="5">
        <v>-306048761000</v>
      </c>
      <c r="P197" s="5">
        <v>-47777374000</v>
      </c>
      <c r="T197" s="5">
        <v>-92237426000</v>
      </c>
      <c r="U197" s="5">
        <v>-448967247000</v>
      </c>
      <c r="V197" s="5">
        <v>-867550297000</v>
      </c>
      <c r="W197" s="5">
        <v>-673359997000</v>
      </c>
      <c r="X197" s="5">
        <v>-241722835000</v>
      </c>
      <c r="Y197" s="5">
        <v>-547255666000</v>
      </c>
      <c r="Z197" s="5">
        <v>-2052984177000</v>
      </c>
    </row>
    <row r="198" spans="3:26" ht="15.5" x14ac:dyDescent="0.35">
      <c r="C198" t="s">
        <v>358</v>
      </c>
      <c r="E198" s="5">
        <v>-1066340000000</v>
      </c>
      <c r="F198" s="5">
        <v>-2298585000000</v>
      </c>
      <c r="I198" s="5">
        <v>-3364925000000</v>
      </c>
      <c r="J198" s="5">
        <v>-2237184000000</v>
      </c>
      <c r="K198" s="5">
        <v>-712413000000</v>
      </c>
      <c r="L198" s="5">
        <v>-2428811000000</v>
      </c>
      <c r="M198" s="5">
        <v>-1197831000000</v>
      </c>
      <c r="N198" s="5">
        <v>-2436549039000</v>
      </c>
      <c r="O198" s="5">
        <v>-4326801500000</v>
      </c>
      <c r="P198" s="5">
        <v>-6263031093000</v>
      </c>
      <c r="Q198" s="5">
        <v>-5233358413000</v>
      </c>
      <c r="R198" s="5">
        <v>-5782020072000</v>
      </c>
      <c r="S198" s="5">
        <v>-5566175610000</v>
      </c>
      <c r="T198" s="5">
        <v>-3317105423000</v>
      </c>
      <c r="U198" s="5">
        <v>-3281114176000</v>
      </c>
      <c r="V198" s="5">
        <v>-20000000000</v>
      </c>
      <c r="W198" s="5">
        <v>-1430063590000</v>
      </c>
      <c r="X198" s="5">
        <v>-230689769000</v>
      </c>
      <c r="Y198" s="5">
        <v>-232681363000</v>
      </c>
      <c r="Z198" s="5">
        <v>-243787387000</v>
      </c>
    </row>
    <row r="199" spans="3:26" ht="15.5" x14ac:dyDescent="0.35">
      <c r="C199" t="s">
        <v>426</v>
      </c>
      <c r="M199" s="5">
        <v>-2100000000000</v>
      </c>
      <c r="P199" s="5">
        <v>-900000000000</v>
      </c>
    </row>
    <row r="200" spans="3:26" ht="15.5" x14ac:dyDescent="0.35">
      <c r="C200" t="s">
        <v>427</v>
      </c>
      <c r="D200" s="5">
        <v>-27260000000</v>
      </c>
      <c r="E200" s="5">
        <v>-39607000000</v>
      </c>
      <c r="F200" s="5">
        <v>-22078000000</v>
      </c>
      <c r="G200" s="5">
        <v>-30990000000</v>
      </c>
      <c r="I200" s="5">
        <v>-116817000000</v>
      </c>
      <c r="J200" s="5">
        <v>-122328000000</v>
      </c>
      <c r="K200" s="5">
        <v>-80954000000</v>
      </c>
      <c r="L200" s="5">
        <v>-102663000000</v>
      </c>
      <c r="M200" s="5">
        <v>-96541000000</v>
      </c>
      <c r="N200" s="5">
        <v>-63484641000</v>
      </c>
    </row>
    <row r="201" spans="3:26" ht="15.5" x14ac:dyDescent="0.35">
      <c r="C201" t="s">
        <v>428</v>
      </c>
      <c r="E201" s="5">
        <v>-164473000000</v>
      </c>
      <c r="I201" s="5">
        <v>-164473000000</v>
      </c>
    </row>
    <row r="202" spans="3:26" ht="15.5" x14ac:dyDescent="0.35">
      <c r="C202" t="s">
        <v>429</v>
      </c>
      <c r="V202" s="5">
        <v>-77115582000</v>
      </c>
      <c r="W202" s="5">
        <v>-67336000000</v>
      </c>
      <c r="X202" s="5">
        <v>-24172284000</v>
      </c>
      <c r="Y202" s="5">
        <v>-20522087000</v>
      </c>
      <c r="Z202" s="5">
        <v>-51324605000</v>
      </c>
    </row>
    <row r="203" spans="3:26" ht="15.5" x14ac:dyDescent="0.35">
      <c r="C203" t="s">
        <v>430</v>
      </c>
      <c r="Z203" s="5">
        <v>-13435143000</v>
      </c>
    </row>
    <row r="204" spans="3:26" ht="15.5" x14ac:dyDescent="0.35">
      <c r="C204" t="s">
        <v>186</v>
      </c>
      <c r="S204" s="5">
        <v>5354246022000</v>
      </c>
    </row>
    <row r="205" spans="3:26" ht="15.5" x14ac:dyDescent="0.35">
      <c r="C205" t="s">
        <v>431</v>
      </c>
      <c r="E205" s="5">
        <v>13178000000</v>
      </c>
      <c r="I205" s="5">
        <v>13178000000</v>
      </c>
      <c r="J205" s="5">
        <v>13910000000</v>
      </c>
    </row>
    <row r="206" spans="3:26" ht="15.5" x14ac:dyDescent="0.35">
      <c r="C206" t="s">
        <v>432</v>
      </c>
      <c r="W206" s="5">
        <v>3000000000000</v>
      </c>
    </row>
    <row r="207" spans="3:26" ht="15.5" x14ac:dyDescent="0.35">
      <c r="C207" t="s">
        <v>188</v>
      </c>
      <c r="D207" s="5">
        <v>606040000000</v>
      </c>
      <c r="E207" s="5">
        <v>-808764000000</v>
      </c>
      <c r="F207" s="5">
        <v>-1303281000000</v>
      </c>
      <c r="G207" s="5">
        <v>3617872000000</v>
      </c>
      <c r="I207" s="5">
        <v>3646360000000</v>
      </c>
      <c r="J207" s="5">
        <v>-4676962000000</v>
      </c>
      <c r="K207" s="5">
        <v>4794536000000</v>
      </c>
      <c r="L207" s="5">
        <v>-752871000000</v>
      </c>
      <c r="M207" s="5">
        <v>1091243000000</v>
      </c>
      <c r="N207" s="5">
        <v>432836824000</v>
      </c>
      <c r="O207" s="5">
        <v>-614635889000</v>
      </c>
      <c r="P207" s="5">
        <v>-1338990831000</v>
      </c>
      <c r="Q207" s="5">
        <v>-2079743358000</v>
      </c>
      <c r="R207" s="5">
        <v>-393494780000</v>
      </c>
      <c r="S207" s="5">
        <v>5272395960000</v>
      </c>
      <c r="T207" s="5">
        <v>-291255079000</v>
      </c>
      <c r="U207" s="5">
        <v>-1602734110000</v>
      </c>
      <c r="V207" s="5">
        <v>-1910922000000</v>
      </c>
      <c r="W207" s="5">
        <v>1493653102000</v>
      </c>
      <c r="X207" s="5">
        <v>1617433652000</v>
      </c>
      <c r="Y207" s="5">
        <v>-261248443000</v>
      </c>
      <c r="Z207" s="5">
        <v>-1583445768000</v>
      </c>
    </row>
    <row r="208" spans="3:26" ht="15.5" x14ac:dyDescent="0.35">
      <c r="C208" t="s">
        <v>189</v>
      </c>
      <c r="D208" s="5">
        <v>8433610000000</v>
      </c>
      <c r="I208" s="5">
        <v>4751621000000</v>
      </c>
      <c r="J208" s="5">
        <v>9208814000000</v>
      </c>
      <c r="K208" s="5">
        <v>4476491000000</v>
      </c>
      <c r="L208" s="5">
        <v>5089160000000</v>
      </c>
      <c r="M208" s="5">
        <v>3984388000000</v>
      </c>
      <c r="N208" s="5">
        <v>3636243080000</v>
      </c>
      <c r="O208" s="5">
        <v>4299068085000</v>
      </c>
      <c r="P208" s="5">
        <v>5550677020000</v>
      </c>
      <c r="Q208" s="5">
        <v>7623385438000</v>
      </c>
      <c r="R208" s="5">
        <v>8086634372000</v>
      </c>
      <c r="S208" s="5">
        <v>2618910283000</v>
      </c>
      <c r="T208" s="5">
        <v>2792737848000</v>
      </c>
      <c r="U208" s="5">
        <v>3868574769000</v>
      </c>
      <c r="V208" s="5">
        <v>5639678574000</v>
      </c>
      <c r="W208" s="5">
        <v>4229101514000</v>
      </c>
      <c r="X208" s="5">
        <v>2773582727000</v>
      </c>
      <c r="Y208" s="5">
        <v>3284218532000</v>
      </c>
      <c r="Z208" s="5">
        <v>4743875109000</v>
      </c>
    </row>
    <row r="209" spans="2:26" ht="15.5" x14ac:dyDescent="0.35">
      <c r="C209" t="s">
        <v>190</v>
      </c>
      <c r="D209" s="5">
        <v>-1142000000</v>
      </c>
      <c r="E209" s="5">
        <v>-19497000000</v>
      </c>
      <c r="F209" s="5">
        <v>51427000000</v>
      </c>
      <c r="G209" s="5">
        <v>-20024000000</v>
      </c>
      <c r="I209" s="5">
        <v>35629000000</v>
      </c>
      <c r="J209" s="5">
        <v>219769000000</v>
      </c>
      <c r="K209" s="5">
        <v>-62213000000</v>
      </c>
      <c r="L209" s="5">
        <v>140202000000</v>
      </c>
      <c r="M209" s="5">
        <v>13529000000</v>
      </c>
      <c r="N209" s="5">
        <v>-84692257000</v>
      </c>
      <c r="O209" s="5">
        <v>-48189116000</v>
      </c>
      <c r="P209" s="5">
        <v>87381896000</v>
      </c>
      <c r="Q209" s="5">
        <v>7034940000</v>
      </c>
      <c r="R209" s="5">
        <v>-69754154000</v>
      </c>
      <c r="S209" s="5">
        <v>195328129000</v>
      </c>
      <c r="T209" s="5">
        <v>117427514000</v>
      </c>
      <c r="U209" s="5">
        <v>526897189000</v>
      </c>
      <c r="V209" s="5">
        <v>139818195000</v>
      </c>
      <c r="W209" s="5">
        <v>-83076042000</v>
      </c>
      <c r="X209" s="5">
        <v>-82773642000</v>
      </c>
      <c r="Y209" s="5">
        <v>-249387362000</v>
      </c>
      <c r="Z209" s="5">
        <v>123789191000</v>
      </c>
    </row>
    <row r="210" spans="2:26" ht="15.5" x14ac:dyDescent="0.35">
      <c r="C210" t="s">
        <v>191</v>
      </c>
      <c r="D210" s="5">
        <v>9038508000000</v>
      </c>
      <c r="E210" s="5">
        <v>-828261000000</v>
      </c>
      <c r="F210" s="5">
        <v>-1251854000000</v>
      </c>
      <c r="G210" s="5">
        <v>3597848000000</v>
      </c>
      <c r="I210" s="5">
        <v>8433610000000</v>
      </c>
      <c r="J210" s="5">
        <v>4751621000000</v>
      </c>
      <c r="K210" s="5">
        <v>9208814000000</v>
      </c>
      <c r="L210" s="5">
        <v>4476491000000</v>
      </c>
      <c r="M210" s="5">
        <v>5089160000000</v>
      </c>
      <c r="N210" s="5">
        <v>3984387647000</v>
      </c>
      <c r="O210" s="5">
        <v>3636243080000</v>
      </c>
      <c r="P210" s="5">
        <v>4299068085000</v>
      </c>
      <c r="Q210" s="5">
        <v>5550677020000</v>
      </c>
      <c r="R210" s="5">
        <v>7623385438000</v>
      </c>
      <c r="S210" s="5">
        <v>8086634372000</v>
      </c>
      <c r="T210" s="5">
        <v>2618910283000</v>
      </c>
      <c r="U210" s="5">
        <v>2792737848000</v>
      </c>
      <c r="V210" s="5">
        <v>3868574769000</v>
      </c>
      <c r="W210" s="5">
        <v>5639678574000</v>
      </c>
      <c r="X210" s="5">
        <v>4308242737000</v>
      </c>
      <c r="Y210" s="5">
        <v>2773582727000</v>
      </c>
      <c r="Z210" s="5">
        <v>3284218532000</v>
      </c>
    </row>
    <row r="212" spans="2:26" ht="15.5" x14ac:dyDescent="0.35">
      <c r="B212" t="s">
        <v>192</v>
      </c>
      <c r="C212" t="s">
        <v>10</v>
      </c>
      <c r="D212" s="5">
        <v>24030000000</v>
      </c>
      <c r="E212" s="5">
        <v>24030000000</v>
      </c>
      <c r="F212" s="5">
        <v>24030000000</v>
      </c>
      <c r="G212" s="5">
        <v>24030000000</v>
      </c>
      <c r="I212" s="5">
        <v>24030000000</v>
      </c>
      <c r="J212" s="5">
        <v>24030000000</v>
      </c>
      <c r="K212" s="5">
        <v>24030000000</v>
      </c>
      <c r="L212" s="5">
        <v>24030000000</v>
      </c>
      <c r="M212" s="5">
        <v>24030000000</v>
      </c>
      <c r="N212" s="5">
        <v>24030000000</v>
      </c>
      <c r="O212" s="5">
        <v>24030000000</v>
      </c>
      <c r="P212" s="5">
        <v>24030000000</v>
      </c>
      <c r="Q212" s="5">
        <v>24030000000</v>
      </c>
      <c r="R212" s="5">
        <v>24030000000</v>
      </c>
      <c r="S212" s="5">
        <v>24030000000</v>
      </c>
      <c r="T212" s="5">
        <v>9540000000</v>
      </c>
      <c r="U212" s="5">
        <v>9540000000</v>
      </c>
      <c r="V212" s="5">
        <v>9540000000</v>
      </c>
      <c r="W212" s="5">
        <v>9540000000</v>
      </c>
      <c r="X212" s="5">
        <v>9540000000</v>
      </c>
      <c r="Y212" s="5">
        <v>9540000000</v>
      </c>
      <c r="Z212" s="5">
        <v>9540000000</v>
      </c>
    </row>
    <row r="213" spans="2:26" ht="15.5" x14ac:dyDescent="0.35">
      <c r="C213" t="s">
        <v>193</v>
      </c>
      <c r="D213" s="6">
        <v>141.77000000000001</v>
      </c>
      <c r="E213" s="6">
        <v>51.36</v>
      </c>
      <c r="F213" s="6">
        <v>53.19</v>
      </c>
      <c r="G213" s="6">
        <v>106.75</v>
      </c>
    </row>
    <row r="214" spans="2:26" ht="15.5" x14ac:dyDescent="0.35">
      <c r="C214" t="s">
        <v>194</v>
      </c>
      <c r="D214" s="6">
        <v>24.69</v>
      </c>
      <c r="E214" s="6">
        <v>61.33</v>
      </c>
      <c r="F214" s="6">
        <v>59.41</v>
      </c>
      <c r="G214" s="6">
        <v>28.48</v>
      </c>
    </row>
    <row r="215" spans="2:26" ht="15.5" x14ac:dyDescent="0.35">
      <c r="C215" t="s">
        <v>56</v>
      </c>
      <c r="D215" s="6">
        <v>2.87</v>
      </c>
      <c r="E215" s="5">
        <v>6</v>
      </c>
      <c r="F215" s="6">
        <v>5.84</v>
      </c>
      <c r="G215" s="6">
        <v>2.2200000000000002</v>
      </c>
    </row>
    <row r="216" spans="2:26" ht="15.5" x14ac:dyDescent="0.35">
      <c r="C216" t="s">
        <v>195</v>
      </c>
      <c r="D216" s="5">
        <v>4716240000000</v>
      </c>
      <c r="E216" s="5">
        <v>766980000000</v>
      </c>
      <c r="F216" s="5">
        <v>1997070000000</v>
      </c>
      <c r="G216" s="5">
        <v>3688130000000</v>
      </c>
    </row>
    <row r="217" spans="2:26" ht="15.5" x14ac:dyDescent="0.35">
      <c r="C217" t="s">
        <v>196</v>
      </c>
      <c r="D217" s="6">
        <v>5.3800000000000001E-2</v>
      </c>
      <c r="E217" s="6">
        <v>2.35E-2</v>
      </c>
      <c r="F217" s="6">
        <v>2.6600000000000002E-2</v>
      </c>
      <c r="G217" s="6">
        <v>5.2999999999999999E-2</v>
      </c>
    </row>
    <row r="218" spans="2:26" ht="15.5" x14ac:dyDescent="0.35">
      <c r="C218" t="s">
        <v>197</v>
      </c>
      <c r="D218" s="6">
        <v>8.77E-2</v>
      </c>
      <c r="E218" s="6">
        <v>3.5000000000000003E-2</v>
      </c>
      <c r="F218" s="6">
        <v>3.78E-2</v>
      </c>
      <c r="G218" s="6">
        <v>7.8899999999999998E-2</v>
      </c>
    </row>
    <row r="219" spans="2:26" ht="15.5" x14ac:dyDescent="0.35">
      <c r="C219" t="s">
        <v>198</v>
      </c>
      <c r="D219" s="6">
        <v>0.1008</v>
      </c>
      <c r="E219" s="6">
        <v>1.21E-2</v>
      </c>
      <c r="F219" s="6">
        <v>4.53E-2</v>
      </c>
      <c r="G219" s="6">
        <v>9.3800000000000008E-2</v>
      </c>
    </row>
    <row r="220" spans="2:26" ht="15.5" x14ac:dyDescent="0.35">
      <c r="C220" t="s">
        <v>199</v>
      </c>
      <c r="D220" s="6">
        <v>41.78</v>
      </c>
      <c r="E220" s="5">
        <v>8</v>
      </c>
      <c r="F220" s="6">
        <v>27.68</v>
      </c>
      <c r="G220" s="6">
        <v>197.33</v>
      </c>
    </row>
    <row r="221" spans="2:26" ht="15.5" x14ac:dyDescent="0.35">
      <c r="C221" t="s">
        <v>200</v>
      </c>
      <c r="D221" s="5">
        <v>40406000000000</v>
      </c>
      <c r="E221" s="5">
        <v>36600000000000</v>
      </c>
      <c r="F221" s="5">
        <v>35197000000000</v>
      </c>
      <c r="G221" s="5">
        <v>33706000000000</v>
      </c>
    </row>
    <row r="222" spans="2:26" ht="15.5" x14ac:dyDescent="0.35">
      <c r="C222" t="s">
        <v>201</v>
      </c>
      <c r="D222" s="6">
        <v>2.17</v>
      </c>
      <c r="E222" s="6">
        <v>2.14</v>
      </c>
      <c r="F222" s="6">
        <v>2.25</v>
      </c>
      <c r="G222" s="6">
        <v>2.25</v>
      </c>
    </row>
    <row r="223" spans="2:26" ht="15.5" x14ac:dyDescent="0.35">
      <c r="C223" t="s">
        <v>202</v>
      </c>
      <c r="D223" s="6">
        <v>1616.55</v>
      </c>
      <c r="E223" s="6">
        <v>1468.88</v>
      </c>
      <c r="F223" s="6">
        <v>1407.28</v>
      </c>
      <c r="G223" s="6">
        <v>1353.18</v>
      </c>
    </row>
    <row r="224" spans="2:26" ht="15.5" x14ac:dyDescent="0.35">
      <c r="C224" t="s">
        <v>203</v>
      </c>
      <c r="D224" s="6">
        <v>2.17</v>
      </c>
      <c r="E224" s="6">
        <v>2.15</v>
      </c>
      <c r="F224" s="6">
        <v>2.2599999999999998</v>
      </c>
      <c r="G224" s="6">
        <v>2.2599999999999998</v>
      </c>
    </row>
    <row r="225" spans="3:26" ht="15.5" x14ac:dyDescent="0.35">
      <c r="C225" t="s">
        <v>204</v>
      </c>
      <c r="D225" s="6">
        <v>1610.7</v>
      </c>
      <c r="E225" s="6">
        <v>1462.9</v>
      </c>
      <c r="F225" s="6">
        <v>1400.05</v>
      </c>
      <c r="G225" s="6">
        <v>1346.91</v>
      </c>
    </row>
    <row r="226" spans="3:26" ht="15.5" x14ac:dyDescent="0.35">
      <c r="C226" t="s">
        <v>205</v>
      </c>
      <c r="D226" s="5">
        <v>5550000000000</v>
      </c>
      <c r="E226" s="5">
        <v>1398000000000</v>
      </c>
      <c r="F226" s="5">
        <v>736000000000</v>
      </c>
      <c r="G226" s="5">
        <v>330000000000</v>
      </c>
    </row>
    <row r="227" spans="3:26" ht="15.5" x14ac:dyDescent="0.35">
      <c r="C227" t="s">
        <v>206</v>
      </c>
      <c r="D227" s="5">
        <v>39000000000</v>
      </c>
      <c r="E227" s="5">
        <v>54000000000</v>
      </c>
      <c r="F227" s="5">
        <v>51000000000</v>
      </c>
      <c r="G227" s="5">
        <v>52000000000</v>
      </c>
    </row>
    <row r="228" spans="3:26" ht="15.5" x14ac:dyDescent="0.35">
      <c r="C228" t="s">
        <v>207</v>
      </c>
      <c r="D228" s="5">
        <v>38847000000000</v>
      </c>
      <c r="E228" s="5">
        <v>35298000000000</v>
      </c>
      <c r="F228" s="5">
        <v>33818000000000</v>
      </c>
      <c r="G228" s="5">
        <v>32518000000000</v>
      </c>
    </row>
    <row r="229" spans="3:26" ht="15.5" x14ac:dyDescent="0.35">
      <c r="C229" t="s">
        <v>22</v>
      </c>
      <c r="D229" s="5">
        <v>5589000000000</v>
      </c>
      <c r="E229" s="5">
        <v>1452000000000</v>
      </c>
      <c r="F229" s="5">
        <v>787000000000</v>
      </c>
      <c r="G229" s="5">
        <v>382000000000</v>
      </c>
    </row>
    <row r="230" spans="3:26" ht="15.5" x14ac:dyDescent="0.35">
      <c r="C230" t="s">
        <v>19</v>
      </c>
      <c r="D230" s="5">
        <v>-3450000000000</v>
      </c>
      <c r="E230" s="5">
        <v>-6982000000000</v>
      </c>
      <c r="F230" s="5">
        <v>-8475000000000</v>
      </c>
      <c r="G230" s="5">
        <v>-10132000000000</v>
      </c>
    </row>
    <row r="231" spans="3:26" ht="15.5" x14ac:dyDescent="0.35">
      <c r="C231" t="s">
        <v>208</v>
      </c>
      <c r="D231" s="5">
        <v>16409000000000</v>
      </c>
      <c r="E231" s="5">
        <v>13339000000000</v>
      </c>
      <c r="F231" s="5">
        <v>12194000000000</v>
      </c>
      <c r="G231" s="5">
        <v>8870000000000</v>
      </c>
    </row>
    <row r="232" spans="3:26" ht="15.5" x14ac:dyDescent="0.35">
      <c r="C232" t="s">
        <v>209</v>
      </c>
      <c r="D232" s="5">
        <v>-3154000000000</v>
      </c>
      <c r="E232" s="5">
        <v>832000000000</v>
      </c>
      <c r="F232" s="5">
        <v>1746000000000</v>
      </c>
      <c r="G232" s="5">
        <v>193000000000</v>
      </c>
    </row>
    <row r="233" spans="3:26" ht="15.5" x14ac:dyDescent="0.35">
      <c r="C233" t="s">
        <v>210</v>
      </c>
      <c r="D233" s="5">
        <v>-97000000000</v>
      </c>
      <c r="E233" s="5">
        <v>-267000000000</v>
      </c>
      <c r="F233" s="5">
        <v>-112000000000</v>
      </c>
      <c r="G233" s="5">
        <v>-16000000000</v>
      </c>
    </row>
    <row r="234" spans="3:26" ht="15.5" x14ac:dyDescent="0.35">
      <c r="C234" t="s">
        <v>11</v>
      </c>
      <c r="D234" s="5">
        <v>-3251000000000</v>
      </c>
      <c r="E234" s="5">
        <v>565000000000</v>
      </c>
      <c r="F234" s="5">
        <v>1634000000000</v>
      </c>
      <c r="G234" s="5">
        <v>177000000000</v>
      </c>
    </row>
    <row r="235" spans="3:26" ht="15.5" x14ac:dyDescent="0.35">
      <c r="C235" t="s">
        <v>14</v>
      </c>
      <c r="D235" s="6">
        <v>-135.27000000000001</v>
      </c>
      <c r="E235" s="6">
        <v>23.51</v>
      </c>
      <c r="F235" s="6">
        <v>68.010000000000005</v>
      </c>
      <c r="G235" s="6">
        <v>7.37</v>
      </c>
    </row>
    <row r="236" spans="3:26" ht="15.5" x14ac:dyDescent="0.35">
      <c r="C236" t="s">
        <v>43</v>
      </c>
      <c r="I236" s="6">
        <v>299.98</v>
      </c>
      <c r="J236" s="6">
        <v>151.77000000000001</v>
      </c>
      <c r="K236" s="6">
        <v>128.07</v>
      </c>
      <c r="L236" s="5">
        <v>159</v>
      </c>
      <c r="M236" s="6">
        <v>77.47</v>
      </c>
      <c r="N236" s="6">
        <v>47.83</v>
      </c>
      <c r="O236" s="6">
        <v>8.07</v>
      </c>
      <c r="P236" s="6">
        <v>36.39</v>
      </c>
      <c r="Q236" s="6">
        <v>5.68</v>
      </c>
      <c r="R236" s="6">
        <v>2.7</v>
      </c>
      <c r="S236" s="6">
        <v>-59.96</v>
      </c>
      <c r="T236" s="6">
        <v>-81.28</v>
      </c>
      <c r="U236" s="6">
        <v>42.98</v>
      </c>
      <c r="V236" s="6">
        <v>313.79000000000002</v>
      </c>
      <c r="W236" s="6">
        <v>202.12</v>
      </c>
      <c r="X236" s="6">
        <v>175.6</v>
      </c>
      <c r="Y236" s="6">
        <v>62.4</v>
      </c>
      <c r="Z236" s="6">
        <v>143.53</v>
      </c>
    </row>
    <row r="237" spans="3:26" ht="15.5" x14ac:dyDescent="0.35">
      <c r="C237" t="s">
        <v>55</v>
      </c>
      <c r="I237" s="6">
        <v>10.5</v>
      </c>
      <c r="J237" s="6">
        <v>10.050000000000001</v>
      </c>
      <c r="K237" s="6">
        <v>13.31</v>
      </c>
      <c r="L237" s="6">
        <v>12.48</v>
      </c>
      <c r="M237" s="6">
        <v>29.04</v>
      </c>
      <c r="N237" s="6">
        <v>40.46</v>
      </c>
      <c r="O237" s="6">
        <v>104.09</v>
      </c>
      <c r="P237" s="6">
        <v>21.02</v>
      </c>
      <c r="Q237" s="6">
        <v>110.04</v>
      </c>
      <c r="R237" s="6">
        <v>331.48</v>
      </c>
      <c r="S237" s="6">
        <v>-5.24</v>
      </c>
      <c r="T237" s="6">
        <v>-13.12</v>
      </c>
      <c r="U237" s="6">
        <v>25.38</v>
      </c>
      <c r="V237" s="6">
        <v>4.08</v>
      </c>
      <c r="W237" s="6">
        <v>8.02</v>
      </c>
      <c r="X237" s="6">
        <v>13.95</v>
      </c>
      <c r="Y237" s="6">
        <v>35.26</v>
      </c>
      <c r="Z237" s="6">
        <v>7.6</v>
      </c>
    </row>
    <row r="238" spans="3:26" ht="15.5" x14ac:dyDescent="0.35">
      <c r="C238" t="s">
        <v>58</v>
      </c>
      <c r="I238" s="6">
        <v>0.89</v>
      </c>
      <c r="J238" s="6">
        <v>0.53</v>
      </c>
      <c r="K238" s="5">
        <v>1</v>
      </c>
      <c r="L238" s="6">
        <v>1.04</v>
      </c>
      <c r="M238" s="6">
        <v>1.41</v>
      </c>
      <c r="N238" s="6">
        <v>1.7</v>
      </c>
      <c r="O238" s="6">
        <v>0.62</v>
      </c>
      <c r="P238" s="6">
        <v>0.73</v>
      </c>
      <c r="Q238" s="6">
        <v>1.19</v>
      </c>
      <c r="R238" s="6">
        <v>2.36</v>
      </c>
      <c r="S238" s="6">
        <v>0.72</v>
      </c>
      <c r="T238" s="6">
        <v>1.08</v>
      </c>
      <c r="U238" s="6">
        <v>0.92</v>
      </c>
      <c r="V238" s="6">
        <v>1.17</v>
      </c>
      <c r="W238" s="6">
        <v>1.49</v>
      </c>
      <c r="X238" s="6">
        <v>2.67</v>
      </c>
      <c r="Y238" s="6">
        <v>2.41</v>
      </c>
      <c r="Z238" s="6">
        <v>1.08</v>
      </c>
    </row>
    <row r="239" spans="3:26" ht="15.5" x14ac:dyDescent="0.35">
      <c r="C239" t="s">
        <v>211</v>
      </c>
      <c r="I239" s="5">
        <v>9369050000000</v>
      </c>
      <c r="J239" s="6">
        <v>4285970000000.0005</v>
      </c>
      <c r="K239" s="5">
        <v>4085540000000</v>
      </c>
      <c r="L239" s="5">
        <v>4800270000000</v>
      </c>
      <c r="M239" s="5">
        <v>3628740000000</v>
      </c>
      <c r="N239" s="5">
        <v>3131640000000</v>
      </c>
      <c r="O239" s="5">
        <v>2065620000000</v>
      </c>
      <c r="P239" s="5">
        <v>2696670000000</v>
      </c>
    </row>
    <row r="240" spans="3:26" ht="15.5" x14ac:dyDescent="0.35">
      <c r="C240" t="s">
        <v>212</v>
      </c>
      <c r="I240" s="6">
        <v>0.13720000000000002</v>
      </c>
      <c r="J240" s="6">
        <v>8.1900000000000001E-2</v>
      </c>
      <c r="K240" s="6">
        <v>7.1800000000000003E-2</v>
      </c>
      <c r="L240" s="6">
        <v>0.11359999999999999</v>
      </c>
      <c r="M240" s="6">
        <v>5.6600000000000004E-2</v>
      </c>
      <c r="N240" s="6">
        <v>3.6200000000000003E-2</v>
      </c>
      <c r="O240" s="6">
        <v>6.4000000000000003E-3</v>
      </c>
      <c r="P240" s="6">
        <v>2.63E-2</v>
      </c>
      <c r="Q240" s="6">
        <v>4.5000000000000005E-3</v>
      </c>
      <c r="R240" s="6">
        <v>2.2000000000000001E-3</v>
      </c>
      <c r="S240" s="6">
        <v>-4.7500000000000001E-2</v>
      </c>
      <c r="T240" s="6">
        <v>-3.5200000000000002E-2</v>
      </c>
      <c r="U240" s="6">
        <v>1.8700000000000001E-2</v>
      </c>
      <c r="V240" s="6">
        <v>0.15190000000000001</v>
      </c>
      <c r="W240" s="6">
        <v>0.1268</v>
      </c>
      <c r="X240" s="6">
        <v>0.1361</v>
      </c>
      <c r="Y240" s="6">
        <v>5.9900000000000002E-2</v>
      </c>
      <c r="Z240" s="6">
        <v>0.1336</v>
      </c>
    </row>
    <row r="241" spans="3:26" ht="15.5" x14ac:dyDescent="0.35">
      <c r="C241" t="s">
        <v>213</v>
      </c>
      <c r="I241" s="6">
        <v>0.20420000000000002</v>
      </c>
      <c r="J241" s="6">
        <v>0.1159</v>
      </c>
      <c r="K241" s="6">
        <v>0.10039999999999999</v>
      </c>
      <c r="L241" s="6">
        <v>0.16109999999999999</v>
      </c>
      <c r="M241" s="6">
        <v>8.929999999999999E-2</v>
      </c>
      <c r="N241" s="6">
        <v>6.0400000000000002E-2</v>
      </c>
      <c r="O241" s="6">
        <v>1.0700000000000001E-2</v>
      </c>
      <c r="P241" s="6">
        <v>4.4299999999999999E-2</v>
      </c>
      <c r="Q241" s="6">
        <v>7.4000000000000003E-3</v>
      </c>
      <c r="R241" s="6">
        <v>3.4999999999999996E-3</v>
      </c>
      <c r="S241" s="6">
        <v>-7.8700000000000006E-2</v>
      </c>
      <c r="T241" s="6">
        <v>-6.5000000000000002E-2</v>
      </c>
      <c r="U241" s="6">
        <v>3.2000000000000001E-2</v>
      </c>
      <c r="V241" s="6">
        <v>0.23319999999999999</v>
      </c>
      <c r="W241" s="6">
        <v>0.17899999999999999</v>
      </c>
      <c r="X241" s="6">
        <v>0.17480000000000001</v>
      </c>
      <c r="Y241" s="6">
        <v>7.2999999999999995E-2</v>
      </c>
      <c r="Z241" s="6">
        <v>0.16980000000000001</v>
      </c>
    </row>
    <row r="242" spans="3:26" ht="15.5" x14ac:dyDescent="0.35">
      <c r="C242" t="s">
        <v>214</v>
      </c>
      <c r="I242" s="6">
        <v>0.21640000000000001</v>
      </c>
      <c r="J242" s="6">
        <v>8.6899999999999991E-2</v>
      </c>
      <c r="K242" s="6">
        <v>8.4499999999999992E-2</v>
      </c>
      <c r="L242" s="6">
        <v>0.1459</v>
      </c>
      <c r="M242" s="6">
        <v>0.1084</v>
      </c>
      <c r="N242" s="6">
        <v>8.2799999999999999E-2</v>
      </c>
      <c r="O242" s="6">
        <v>3.6299999999999999E-2</v>
      </c>
      <c r="P242" s="6">
        <v>7.0900000000000005E-2</v>
      </c>
      <c r="Q242" s="6">
        <v>2.4E-2</v>
      </c>
      <c r="R242" s="6">
        <v>2.9999999999999997E-4</v>
      </c>
      <c r="S242" s="6">
        <v>-3.1699999999999999E-2</v>
      </c>
      <c r="T242" s="6">
        <v>-9.8999999999999991E-3</v>
      </c>
      <c r="U242" s="6">
        <v>2.4300000000000002E-2</v>
      </c>
      <c r="V242" s="6">
        <v>5.7800000000000004E-2</v>
      </c>
      <c r="W242" s="6">
        <v>0.16320000000000001</v>
      </c>
      <c r="X242" s="6">
        <v>0.19949999999999998</v>
      </c>
      <c r="Y242" s="6">
        <v>6.2800000000000009E-2</v>
      </c>
      <c r="Z242" s="6">
        <v>0.35969999999999996</v>
      </c>
    </row>
    <row r="243" spans="3:26" ht="15.5" x14ac:dyDescent="0.35">
      <c r="C243" t="s">
        <v>215</v>
      </c>
      <c r="I243" s="6">
        <v>50.24</v>
      </c>
      <c r="J243" s="6">
        <v>12.64</v>
      </c>
      <c r="K243" s="6">
        <v>12.16</v>
      </c>
      <c r="L243" s="6">
        <v>10.34</v>
      </c>
      <c r="M243" s="6">
        <v>7.63</v>
      </c>
      <c r="N243" s="6">
        <v>3.59</v>
      </c>
      <c r="O243" s="6">
        <v>4.0999999999999996</v>
      </c>
      <c r="P243" s="6">
        <v>3.34</v>
      </c>
      <c r="Q243" s="6">
        <v>0.99</v>
      </c>
      <c r="R243" s="6">
        <v>0.03</v>
      </c>
      <c r="S243" s="6">
        <v>-2.85</v>
      </c>
      <c r="T243" s="6">
        <v>-1.42</v>
      </c>
      <c r="U243" s="6">
        <v>6.94</v>
      </c>
      <c r="V243" s="6">
        <v>3.82</v>
      </c>
      <c r="W243" s="6">
        <v>88.58</v>
      </c>
      <c r="X243" s="6">
        <v>153.86000000000001</v>
      </c>
      <c r="Y243" s="6">
        <v>12.49</v>
      </c>
      <c r="Z243" s="6">
        <v>34.03</v>
      </c>
    </row>
    <row r="244" spans="3:26" ht="15.5" x14ac:dyDescent="0.35">
      <c r="C244" t="s">
        <v>52</v>
      </c>
      <c r="I244" s="6">
        <v>2.14</v>
      </c>
      <c r="J244" s="6">
        <v>1.1599999999999999</v>
      </c>
      <c r="K244" s="6">
        <v>1.34</v>
      </c>
      <c r="L244" s="6">
        <v>2.0099999999999998</v>
      </c>
      <c r="M244" s="6">
        <v>2.59</v>
      </c>
      <c r="N244" s="6">
        <v>2.44</v>
      </c>
      <c r="O244" s="6">
        <v>1.1100000000000001</v>
      </c>
      <c r="P244" s="6">
        <v>0.93</v>
      </c>
      <c r="Q244" s="6">
        <v>0.81</v>
      </c>
      <c r="R244" s="6">
        <v>1.17</v>
      </c>
      <c r="S244" s="6">
        <v>0.41</v>
      </c>
      <c r="T244" s="6">
        <v>0.85</v>
      </c>
      <c r="U244" s="6">
        <v>0.81</v>
      </c>
      <c r="V244" s="6">
        <v>0.95</v>
      </c>
      <c r="W244" s="6">
        <v>1.43</v>
      </c>
      <c r="X244" s="6">
        <v>2.44</v>
      </c>
      <c r="Y244" s="6">
        <v>2.58</v>
      </c>
      <c r="Z244" s="6">
        <v>1.29</v>
      </c>
    </row>
    <row r="245" spans="3:26" ht="15.5" x14ac:dyDescent="0.35">
      <c r="C245" t="s">
        <v>49</v>
      </c>
      <c r="I245" s="6">
        <v>1468.88</v>
      </c>
      <c r="J245" s="6">
        <v>1309.08</v>
      </c>
      <c r="K245" s="6">
        <v>1275.17</v>
      </c>
      <c r="L245" s="6">
        <v>986.74</v>
      </c>
      <c r="M245" s="6">
        <v>867.1</v>
      </c>
      <c r="N245" s="6">
        <v>792.29</v>
      </c>
      <c r="O245" s="6">
        <v>754.59</v>
      </c>
      <c r="P245" s="6">
        <v>821.41</v>
      </c>
      <c r="Q245" s="6">
        <v>769.45</v>
      </c>
      <c r="R245" s="6">
        <v>766.05</v>
      </c>
      <c r="S245" s="6">
        <v>762.22</v>
      </c>
      <c r="T245" s="6">
        <v>1250.68</v>
      </c>
      <c r="U245" s="6">
        <v>1341.25</v>
      </c>
      <c r="V245" s="6">
        <v>1345.32</v>
      </c>
      <c r="W245" s="6">
        <v>1129.33</v>
      </c>
      <c r="X245" s="6">
        <v>1004.37</v>
      </c>
      <c r="Y245" s="6">
        <v>854.32</v>
      </c>
      <c r="Z245" s="6">
        <v>845.33</v>
      </c>
    </row>
    <row r="246" spans="3:26" ht="15.5" x14ac:dyDescent="0.35">
      <c r="C246" t="s">
        <v>216</v>
      </c>
      <c r="I246" s="6">
        <v>2.15</v>
      </c>
      <c r="J246" s="6">
        <v>1.17</v>
      </c>
      <c r="K246" s="6">
        <v>1.34</v>
      </c>
      <c r="L246" s="6">
        <v>2.02</v>
      </c>
      <c r="M246" s="6">
        <v>2.61</v>
      </c>
      <c r="N246" s="6">
        <v>2.46</v>
      </c>
      <c r="O246" s="6">
        <v>1.1200000000000001</v>
      </c>
      <c r="P246" s="6">
        <v>0.94</v>
      </c>
      <c r="Q246" s="6">
        <v>0.82</v>
      </c>
      <c r="R246" s="6">
        <v>1.17</v>
      </c>
      <c r="S246" s="6">
        <v>0.41</v>
      </c>
      <c r="T246" s="6">
        <v>0.86</v>
      </c>
      <c r="U246" s="6">
        <v>0.83</v>
      </c>
      <c r="V246" s="6">
        <v>0.97</v>
      </c>
      <c r="W246" s="6">
        <v>1.46</v>
      </c>
      <c r="X246" s="6">
        <v>2.46</v>
      </c>
      <c r="Y246" s="6">
        <v>2.6</v>
      </c>
      <c r="Z246" s="6">
        <v>1.3</v>
      </c>
    </row>
    <row r="247" spans="3:26" ht="15.5" x14ac:dyDescent="0.35">
      <c r="C247" t="s">
        <v>217</v>
      </c>
      <c r="I247" s="6">
        <v>1462.9</v>
      </c>
      <c r="J247" s="6">
        <v>1303.44</v>
      </c>
      <c r="K247" s="6">
        <v>1270.43</v>
      </c>
      <c r="L247" s="6">
        <v>982.51</v>
      </c>
      <c r="M247" s="6">
        <v>862.5</v>
      </c>
      <c r="N247" s="6">
        <v>787.5</v>
      </c>
      <c r="O247" s="6">
        <v>749.96</v>
      </c>
      <c r="P247" s="6">
        <v>817.18</v>
      </c>
      <c r="Q247" s="6">
        <v>765.21</v>
      </c>
      <c r="R247" s="6">
        <v>761.82</v>
      </c>
      <c r="S247" s="6">
        <v>757.98</v>
      </c>
      <c r="T247" s="6">
        <v>1236.67</v>
      </c>
      <c r="U247" s="6">
        <v>1322.39</v>
      </c>
      <c r="V247" s="6">
        <v>1325.89</v>
      </c>
      <c r="W247" s="6">
        <v>1109.8900000000001</v>
      </c>
      <c r="X247" s="6">
        <v>994.95</v>
      </c>
      <c r="Y247" s="6">
        <v>845.84</v>
      </c>
      <c r="Z247" s="6">
        <v>836.38</v>
      </c>
    </row>
    <row r="248" spans="3:26" ht="15.5" x14ac:dyDescent="0.35">
      <c r="C248" t="s">
        <v>218</v>
      </c>
      <c r="I248" s="5">
        <v>1398000000000</v>
      </c>
      <c r="J248" s="5">
        <v>55000000000</v>
      </c>
      <c r="K248" s="5">
        <v>1703000000000</v>
      </c>
      <c r="L248" s="5">
        <v>1010000000000</v>
      </c>
      <c r="M248" s="5">
        <v>2228000000000</v>
      </c>
      <c r="N248" s="5">
        <v>4288000000000</v>
      </c>
      <c r="O248" s="5">
        <v>3003000000000</v>
      </c>
      <c r="P248" s="5">
        <v>2576000000000</v>
      </c>
      <c r="Q248" s="5">
        <v>4101000000000</v>
      </c>
      <c r="R248" s="5">
        <v>3255000000000</v>
      </c>
      <c r="S248" s="5">
        <v>3188000000000</v>
      </c>
      <c r="T248" s="5">
        <v>2752000000000</v>
      </c>
      <c r="U248" s="5">
        <v>2568000000000</v>
      </c>
      <c r="V248" s="5">
        <v>1664000000000</v>
      </c>
      <c r="W248" s="5">
        <v>8000000000</v>
      </c>
      <c r="X248" s="5">
        <v>769000000000</v>
      </c>
      <c r="Y248" s="5">
        <v>240000000000</v>
      </c>
      <c r="Z248" s="5">
        <v>256000000000</v>
      </c>
    </row>
    <row r="249" spans="3:26" ht="15.5" x14ac:dyDescent="0.35">
      <c r="C249" t="s">
        <v>219</v>
      </c>
      <c r="I249" s="5">
        <v>54000000000</v>
      </c>
      <c r="J249" s="5">
        <v>42000000000</v>
      </c>
      <c r="K249" s="5">
        <v>945000000000</v>
      </c>
      <c r="L249" s="5">
        <v>2145000000000</v>
      </c>
      <c r="M249" s="5">
        <v>3787000000000</v>
      </c>
      <c r="N249" s="5">
        <v>3475000000000</v>
      </c>
      <c r="O249" s="5">
        <v>5564000000000</v>
      </c>
      <c r="P249" s="5">
        <v>7348000000000</v>
      </c>
      <c r="Q249" s="5">
        <v>5298000000000</v>
      </c>
      <c r="R249" s="5">
        <v>6649000000000</v>
      </c>
      <c r="S249" s="5">
        <v>6922000000000</v>
      </c>
      <c r="T249" s="5">
        <v>5263000000000</v>
      </c>
      <c r="U249" s="5">
        <v>4217000000000</v>
      </c>
      <c r="V249" s="5">
        <v>2993000000000</v>
      </c>
      <c r="W249" s="5">
        <v>2992000000000</v>
      </c>
      <c r="X249" s="5">
        <v>24000000000</v>
      </c>
      <c r="Y249" s="5">
        <v>274000000000</v>
      </c>
      <c r="Z249" s="5">
        <v>596000000000</v>
      </c>
    </row>
    <row r="250" spans="3:26" ht="15.5" x14ac:dyDescent="0.35">
      <c r="C250" t="s">
        <v>24</v>
      </c>
      <c r="I250" s="5">
        <v>1452000000000</v>
      </c>
      <c r="J250" s="5">
        <v>98000000000</v>
      </c>
      <c r="K250" s="5">
        <v>2648000000000</v>
      </c>
      <c r="L250" s="5">
        <v>3155000000000</v>
      </c>
      <c r="M250" s="5">
        <v>6015000000000</v>
      </c>
      <c r="N250" s="5">
        <v>7763000000000</v>
      </c>
      <c r="O250" s="5">
        <v>8568000000000</v>
      </c>
      <c r="P250" s="5">
        <v>9924000000000</v>
      </c>
      <c r="Q250" s="5">
        <v>9399000000000</v>
      </c>
      <c r="R250" s="5">
        <v>9905000000000</v>
      </c>
      <c r="S250" s="5">
        <v>10110000000000</v>
      </c>
      <c r="T250" s="5">
        <v>8015000000000</v>
      </c>
      <c r="U250" s="5">
        <v>6785000000000</v>
      </c>
      <c r="V250" s="5">
        <v>4657000000000</v>
      </c>
      <c r="W250" s="5">
        <v>3000000000000</v>
      </c>
      <c r="X250" s="5">
        <v>793000000000</v>
      </c>
      <c r="Y250" s="5">
        <v>513000000000</v>
      </c>
      <c r="Z250" s="5">
        <v>851000000000</v>
      </c>
    </row>
    <row r="251" spans="3:26" ht="15.5" x14ac:dyDescent="0.35">
      <c r="C251" t="s">
        <v>21</v>
      </c>
      <c r="I251" s="5">
        <v>-6982000000000</v>
      </c>
      <c r="J251" s="5">
        <v>-4654000000000</v>
      </c>
      <c r="K251" s="5">
        <v>-6561000000000</v>
      </c>
      <c r="L251" s="5">
        <v>-1322000000000</v>
      </c>
      <c r="M251" s="5">
        <v>926000000000</v>
      </c>
      <c r="N251" s="5">
        <v>3779000000000</v>
      </c>
      <c r="O251" s="5">
        <v>4931000000000</v>
      </c>
      <c r="P251" s="5">
        <v>5625000000000</v>
      </c>
      <c r="Q251" s="5">
        <v>3848000000000</v>
      </c>
      <c r="R251" s="5">
        <v>2281000000000</v>
      </c>
      <c r="S251" s="5">
        <v>2024000000000</v>
      </c>
      <c r="T251" s="5">
        <v>5396000000000</v>
      </c>
      <c r="U251" s="5">
        <v>3993000000000</v>
      </c>
      <c r="V251" s="5">
        <v>788000000000</v>
      </c>
      <c r="W251" s="5">
        <v>-2639000000000</v>
      </c>
      <c r="X251" s="5">
        <v>-3516000000000</v>
      </c>
      <c r="Y251" s="5">
        <v>-2260000000000</v>
      </c>
      <c r="Z251" s="5">
        <v>-2433000000000</v>
      </c>
    </row>
    <row r="252" spans="3:26" ht="15.5" x14ac:dyDescent="0.35">
      <c r="C252" t="s">
        <v>220</v>
      </c>
      <c r="I252" s="5">
        <v>13339000000000</v>
      </c>
      <c r="J252" s="5">
        <v>8221000000000</v>
      </c>
      <c r="K252" s="5">
        <v>11488000000000</v>
      </c>
      <c r="L252" s="5">
        <v>5723000000000</v>
      </c>
      <c r="M252" s="5">
        <v>5166000000000</v>
      </c>
      <c r="N252" s="5">
        <v>1597000000000</v>
      </c>
      <c r="O252" s="5">
        <v>2372000000000</v>
      </c>
      <c r="P252" s="5">
        <v>2987000000000</v>
      </c>
      <c r="Q252" s="5">
        <v>3449000000000</v>
      </c>
      <c r="R252" s="5">
        <v>6278000000000</v>
      </c>
      <c r="S252" s="5">
        <v>6913000000000</v>
      </c>
      <c r="T252" s="5">
        <v>2480000000000</v>
      </c>
      <c r="U252" s="5">
        <v>3225000000000</v>
      </c>
      <c r="V252" s="5">
        <v>4605000000000</v>
      </c>
      <c r="W252" s="5">
        <v>8252000000000</v>
      </c>
      <c r="X252" s="5">
        <v>5605000000000</v>
      </c>
      <c r="Y252" s="5">
        <v>4689000000000</v>
      </c>
      <c r="Z252" s="5">
        <v>5101000000000</v>
      </c>
    </row>
    <row r="253" spans="3:26" ht="15.5" x14ac:dyDescent="0.35">
      <c r="C253" t="s">
        <v>221</v>
      </c>
      <c r="I253" s="5">
        <v>4853000000000</v>
      </c>
      <c r="J253" s="5">
        <v>3681000000000</v>
      </c>
      <c r="K253" s="5">
        <v>4357000000000</v>
      </c>
      <c r="L253" s="5">
        <v>4108000000000</v>
      </c>
      <c r="M253" s="5">
        <v>5043000000000</v>
      </c>
      <c r="N253" s="5">
        <v>2219000000000</v>
      </c>
      <c r="O253" s="5">
        <v>1634000000000</v>
      </c>
      <c r="P253" s="5">
        <v>1875000000000</v>
      </c>
      <c r="Q253" s="5">
        <v>1379000000000</v>
      </c>
      <c r="R253" s="5">
        <v>1015000000000</v>
      </c>
      <c r="S253" s="5">
        <v>489000000000</v>
      </c>
      <c r="T253" s="5">
        <v>392000000000</v>
      </c>
      <c r="U253" s="5">
        <v>157000000000</v>
      </c>
      <c r="V253" s="5">
        <v>891000000000</v>
      </c>
      <c r="W253" s="5">
        <v>1568000000000</v>
      </c>
      <c r="X253" s="5">
        <v>2005000000000</v>
      </c>
      <c r="Y253" s="5">
        <v>1004000000000</v>
      </c>
      <c r="Z253" s="5">
        <v>1137000000000</v>
      </c>
    </row>
    <row r="254" spans="3:26" ht="15.5" x14ac:dyDescent="0.35">
      <c r="C254" t="s">
        <v>222</v>
      </c>
      <c r="I254" s="5">
        <v>-667000000000</v>
      </c>
      <c r="J254" s="5">
        <v>-1179000000000</v>
      </c>
      <c r="K254" s="5">
        <v>-1433000000000</v>
      </c>
      <c r="L254" s="5">
        <v>-700000000000</v>
      </c>
      <c r="M254" s="5">
        <v>-511000000000</v>
      </c>
      <c r="N254" s="5">
        <v>-572000000000</v>
      </c>
      <c r="O254" s="5">
        <v>-1236000000000</v>
      </c>
      <c r="P254" s="5">
        <v>-2163000000000</v>
      </c>
      <c r="Q254" s="5">
        <v>-2365000000000</v>
      </c>
      <c r="R254" s="5">
        <v>-1231000000000</v>
      </c>
      <c r="S254" s="5">
        <v>-1821000000000</v>
      </c>
      <c r="T254" s="5">
        <v>-2076000000000</v>
      </c>
      <c r="U254" s="5">
        <v>-2680000000000</v>
      </c>
      <c r="V254" s="5">
        <v>-2561000000000</v>
      </c>
      <c r="W254" s="5">
        <v>-899000000000</v>
      </c>
      <c r="X254" s="5">
        <v>-681000000000</v>
      </c>
      <c r="Y254" s="5">
        <v>-584000000000</v>
      </c>
      <c r="Z254" s="5">
        <v>-500000000000</v>
      </c>
    </row>
    <row r="255" spans="3:26" ht="15.5" x14ac:dyDescent="0.35">
      <c r="C255" t="s">
        <v>13</v>
      </c>
      <c r="I255" s="5">
        <v>4187000000000</v>
      </c>
      <c r="J255" s="5">
        <v>2502000000000</v>
      </c>
      <c r="K255" s="5">
        <v>2924000000000</v>
      </c>
      <c r="L255" s="5">
        <v>3408000000000</v>
      </c>
      <c r="M255" s="5">
        <v>4531000000000</v>
      </c>
      <c r="N255" s="5">
        <v>1646000000000</v>
      </c>
      <c r="O255" s="5">
        <v>398000000000</v>
      </c>
      <c r="P255" s="5">
        <v>-288000000000</v>
      </c>
      <c r="Q255" s="5">
        <v>-985000000000</v>
      </c>
      <c r="R255" s="5">
        <v>-215000000000</v>
      </c>
      <c r="S255" s="5">
        <v>-1332000000000</v>
      </c>
      <c r="T255" s="5">
        <v>-1684000000000</v>
      </c>
      <c r="U255" s="5">
        <v>-2523000000000</v>
      </c>
      <c r="V255" s="5">
        <v>-1670000000000</v>
      </c>
      <c r="W255" s="5">
        <v>669000000000</v>
      </c>
      <c r="X255" s="5">
        <v>1323000000000</v>
      </c>
      <c r="Y255" s="5">
        <v>420000000000</v>
      </c>
      <c r="Z255" s="5">
        <v>637000000000</v>
      </c>
    </row>
    <row r="256" spans="3:26" ht="15.5" x14ac:dyDescent="0.35">
      <c r="C256" t="s">
        <v>15</v>
      </c>
      <c r="I256" s="6">
        <v>174.22</v>
      </c>
      <c r="J256" s="6">
        <v>104.12</v>
      </c>
      <c r="K256" s="6">
        <v>121.67</v>
      </c>
      <c r="L256" s="6">
        <v>141.81</v>
      </c>
      <c r="M256" s="6">
        <v>188.56</v>
      </c>
      <c r="N256" s="6">
        <v>68.510000000000005</v>
      </c>
      <c r="O256" s="6">
        <v>16.54</v>
      </c>
      <c r="P256" s="5">
        <v>-12</v>
      </c>
      <c r="Q256" s="5">
        <v>-41</v>
      </c>
      <c r="R256" s="6">
        <v>-8.9499999999999993</v>
      </c>
      <c r="S256" s="6">
        <v>-55.43</v>
      </c>
      <c r="T256" s="6">
        <v>-176.59</v>
      </c>
      <c r="U256" s="6">
        <v>-264.49</v>
      </c>
      <c r="V256" s="6">
        <v>-175.11</v>
      </c>
      <c r="W256" s="6">
        <v>70.12</v>
      </c>
      <c r="X256" s="6">
        <v>138.72999999999999</v>
      </c>
      <c r="Y256" s="6">
        <v>44.01</v>
      </c>
      <c r="Z256" s="6">
        <v>66.83</v>
      </c>
    </row>
    <row r="258" spans="2:17" ht="15.5" x14ac:dyDescent="0.35">
      <c r="B258" t="s">
        <v>223</v>
      </c>
      <c r="C258" t="s">
        <v>224</v>
      </c>
      <c r="D258" s="5">
        <v>3407000000000</v>
      </c>
      <c r="E258" s="5">
        <v>1234000000000</v>
      </c>
      <c r="F258" s="5">
        <v>1278000000000</v>
      </c>
      <c r="G258" s="5">
        <v>2565000000000</v>
      </c>
      <c r="H258" s="5">
        <v>13627000000000</v>
      </c>
      <c r="I258" s="5">
        <v>7209000000000</v>
      </c>
      <c r="J258" s="5">
        <v>3647000000000</v>
      </c>
      <c r="K258" s="5">
        <v>3078000000000</v>
      </c>
      <c r="L258" s="5">
        <v>3821000000000</v>
      </c>
      <c r="M258" s="5">
        <v>1862000000000</v>
      </c>
      <c r="N258" s="5">
        <v>1149000000000</v>
      </c>
      <c r="O258" s="5">
        <v>194000000000</v>
      </c>
      <c r="P258" s="5">
        <v>874000000000</v>
      </c>
      <c r="Q258" s="5">
        <v>137000000000</v>
      </c>
    </row>
    <row r="259" spans="2:17" ht="15.5" x14ac:dyDescent="0.35">
      <c r="C259" t="s">
        <v>225</v>
      </c>
      <c r="H259" s="5">
        <v>8484000000000</v>
      </c>
      <c r="I259" s="5">
        <v>7209000000000</v>
      </c>
      <c r="J259" s="5">
        <v>3647000000000</v>
      </c>
      <c r="K259" s="5">
        <v>3078000000000</v>
      </c>
      <c r="L259" s="5">
        <v>3821000000000</v>
      </c>
      <c r="M259" s="5">
        <v>1862000000000</v>
      </c>
      <c r="N259" s="5">
        <v>1149000000000</v>
      </c>
      <c r="O259" s="5">
        <v>194000000000</v>
      </c>
      <c r="P259" s="5">
        <v>874000000000</v>
      </c>
      <c r="Q259" s="5">
        <v>137000000000</v>
      </c>
    </row>
    <row r="260" spans="2:17" ht="15.5" x14ac:dyDescent="0.35">
      <c r="C260" t="s">
        <v>226</v>
      </c>
      <c r="H260" s="6">
        <v>209.99</v>
      </c>
      <c r="I260" s="6">
        <v>209.99</v>
      </c>
      <c r="J260" s="6">
        <v>151.77000000000001</v>
      </c>
      <c r="K260" s="6">
        <v>128.07</v>
      </c>
      <c r="L260" s="6">
        <v>79.5</v>
      </c>
      <c r="M260" s="6">
        <v>38.74</v>
      </c>
      <c r="N260" s="6">
        <v>16.739999999999998</v>
      </c>
      <c r="O260" s="6">
        <v>2.82</v>
      </c>
      <c r="P260" s="6">
        <v>12.74</v>
      </c>
      <c r="Q260" s="6">
        <v>1.99</v>
      </c>
    </row>
    <row r="261" spans="2:17" ht="15.5" x14ac:dyDescent="0.35">
      <c r="C261" t="s">
        <v>60</v>
      </c>
      <c r="H261" s="6">
        <v>0.37030000000000002</v>
      </c>
      <c r="I261" s="6">
        <v>0.7</v>
      </c>
      <c r="J261" s="5">
        <v>1</v>
      </c>
      <c r="K261" s="5">
        <v>1</v>
      </c>
      <c r="L261" s="6">
        <v>0.5</v>
      </c>
      <c r="M261" s="6">
        <v>0.5</v>
      </c>
      <c r="N261" s="6">
        <v>0.35</v>
      </c>
      <c r="O261" s="6">
        <v>0.34960000000000002</v>
      </c>
      <c r="P261" s="6">
        <v>0.35009999999999997</v>
      </c>
      <c r="Q261" s="6">
        <v>0.3503</v>
      </c>
    </row>
    <row r="262" spans="2:17" ht="15.5" x14ac:dyDescent="0.35">
      <c r="C262" t="s">
        <v>227</v>
      </c>
      <c r="H262" s="6">
        <v>7.3700000000000002E-2</v>
      </c>
      <c r="I262" s="6">
        <v>6.5599999999999992E-2</v>
      </c>
      <c r="J262" s="6">
        <v>4.7400000000000005E-2</v>
      </c>
      <c r="K262" s="6">
        <v>7.7399999999999997E-2</v>
      </c>
      <c r="L262" s="6">
        <v>3.9599999999999996E-2</v>
      </c>
      <c r="M262" s="6">
        <v>1.55E-2</v>
      </c>
      <c r="N262" s="6">
        <v>7.1999999999999998E-3</v>
      </c>
      <c r="O262" s="6">
        <v>4.5999999999999999E-3</v>
      </c>
      <c r="P262" s="6">
        <v>1.61E-2</v>
      </c>
      <c r="Q262" s="6">
        <v>2.0999999999999999E-3</v>
      </c>
    </row>
    <row r="263" spans="2:17" ht="15.5" x14ac:dyDescent="0.35">
      <c r="C263" t="s">
        <v>42</v>
      </c>
      <c r="D263" s="6">
        <v>141.77000000000001</v>
      </c>
      <c r="E263" s="6">
        <v>51.36</v>
      </c>
      <c r="F263" s="6">
        <v>53.19</v>
      </c>
      <c r="G263" s="6">
        <v>106.75</v>
      </c>
      <c r="H263" s="6">
        <v>567.07000000000005</v>
      </c>
      <c r="I263" s="6">
        <v>299.98</v>
      </c>
      <c r="J263" s="6">
        <v>151.77000000000001</v>
      </c>
      <c r="K263" s="6">
        <v>128.07</v>
      </c>
      <c r="L263" s="5">
        <v>159</v>
      </c>
      <c r="M263" s="6">
        <v>77.47</v>
      </c>
      <c r="N263" s="6">
        <v>47.83</v>
      </c>
      <c r="O263" s="6">
        <v>8.07</v>
      </c>
      <c r="P263" s="6">
        <v>36.39</v>
      </c>
      <c r="Q263" s="6">
        <v>5.68</v>
      </c>
    </row>
    <row r="264" spans="2:17" ht="15.5" x14ac:dyDescent="0.35">
      <c r="C264" t="s">
        <v>228</v>
      </c>
      <c r="H264" s="6">
        <v>353.07</v>
      </c>
      <c r="I264" s="6">
        <v>299.98</v>
      </c>
      <c r="J264" s="6">
        <v>151.77000000000001</v>
      </c>
      <c r="K264" s="6">
        <v>128.07</v>
      </c>
      <c r="L264" s="5">
        <v>159</v>
      </c>
      <c r="M264" s="6">
        <v>77.47</v>
      </c>
      <c r="N264" s="6">
        <v>47.83</v>
      </c>
      <c r="O264" s="6">
        <v>8.07</v>
      </c>
      <c r="P264" s="6">
        <v>36.39</v>
      </c>
      <c r="Q264" s="6">
        <v>5.68</v>
      </c>
    </row>
    <row r="265" spans="2:17" ht="15.5" x14ac:dyDescent="0.35">
      <c r="C265" t="s">
        <v>62</v>
      </c>
      <c r="H265" s="6">
        <v>209.99</v>
      </c>
      <c r="I265" s="6">
        <v>209.99</v>
      </c>
      <c r="J265" s="6">
        <v>151.77000000000001</v>
      </c>
      <c r="K265" s="6">
        <v>128.07</v>
      </c>
      <c r="L265" s="6">
        <v>79.5</v>
      </c>
      <c r="M265" s="6">
        <v>38.74</v>
      </c>
      <c r="N265" s="6">
        <v>16.739999999999998</v>
      </c>
      <c r="O265" s="6">
        <v>2.82</v>
      </c>
      <c r="P265" s="6">
        <v>12.74</v>
      </c>
      <c r="Q265" s="6">
        <v>1.99</v>
      </c>
    </row>
    <row r="266" spans="2:17" ht="15.5" x14ac:dyDescent="0.35">
      <c r="C266" t="s">
        <v>229</v>
      </c>
      <c r="H266" s="6">
        <v>0.37030000000000002</v>
      </c>
      <c r="I266" s="6">
        <v>0.7</v>
      </c>
      <c r="J266" s="5">
        <v>1</v>
      </c>
      <c r="K266" s="5">
        <v>1</v>
      </c>
      <c r="L266" s="6">
        <v>0.5</v>
      </c>
      <c r="M266" s="6">
        <v>0.5</v>
      </c>
      <c r="N266" s="6">
        <v>0.35</v>
      </c>
      <c r="O266" s="6">
        <v>0.34960000000000002</v>
      </c>
      <c r="P266" s="6">
        <v>0.35009999999999997</v>
      </c>
      <c r="Q266" s="6">
        <v>0.3503</v>
      </c>
    </row>
    <row r="267" spans="2:17" ht="15.5" x14ac:dyDescent="0.35">
      <c r="C267" t="s">
        <v>230</v>
      </c>
      <c r="H267" s="6">
        <v>7.3700000000000002E-2</v>
      </c>
      <c r="I267" s="6">
        <v>6.5599999999999992E-2</v>
      </c>
      <c r="J267" s="6">
        <v>4.7400000000000005E-2</v>
      </c>
      <c r="K267" s="6">
        <v>7.7399999999999997E-2</v>
      </c>
      <c r="L267" s="6">
        <v>3.9599999999999996E-2</v>
      </c>
      <c r="M267" s="6">
        <v>1.55E-2</v>
      </c>
      <c r="N267" s="6">
        <v>7.1999999999999998E-3</v>
      </c>
      <c r="O267" s="6">
        <v>4.5999999999999999E-3</v>
      </c>
      <c r="P267" s="6">
        <v>1.61E-2</v>
      </c>
      <c r="Q267" s="6">
        <v>2.0999999999999999E-3</v>
      </c>
    </row>
    <row r="268" spans="2:17" ht="15.5" x14ac:dyDescent="0.35">
      <c r="C268" t="s">
        <v>231</v>
      </c>
      <c r="D268" s="5">
        <v>29323000000000</v>
      </c>
      <c r="E268" s="5">
        <v>12614000000000</v>
      </c>
      <c r="F268" s="5">
        <v>13008000000000</v>
      </c>
      <c r="G268" s="5">
        <v>32868000000000</v>
      </c>
      <c r="H268" s="5">
        <v>117293000000000</v>
      </c>
      <c r="I268" s="5">
        <v>84642000000000</v>
      </c>
      <c r="J268" s="5">
        <v>69192000000000</v>
      </c>
      <c r="K268" s="5">
        <v>41048000000000</v>
      </c>
      <c r="L268" s="5">
        <v>45930000000000</v>
      </c>
      <c r="M268" s="5">
        <v>38446000000000</v>
      </c>
      <c r="N268" s="5">
        <v>27372000000000</v>
      </c>
      <c r="O268" s="5">
        <v>32719000000000</v>
      </c>
      <c r="P268" s="5">
        <v>25241000000000</v>
      </c>
      <c r="Q268" s="5">
        <v>12654000000000</v>
      </c>
    </row>
    <row r="269" spans="2:17" ht="15.5" x14ac:dyDescent="0.35">
      <c r="C269" t="s">
        <v>232</v>
      </c>
      <c r="H269" s="5">
        <v>87814000000000</v>
      </c>
      <c r="I269" s="5">
        <v>84642000000000</v>
      </c>
      <c r="J269" s="5">
        <v>69192000000000</v>
      </c>
      <c r="K269" s="5">
        <v>41048000000000</v>
      </c>
      <c r="L269" s="5">
        <v>45930000000000</v>
      </c>
      <c r="M269" s="5">
        <v>38446000000000</v>
      </c>
      <c r="N269" s="5">
        <v>27372000000000</v>
      </c>
      <c r="O269" s="5">
        <v>32719000000000</v>
      </c>
      <c r="P269" s="5">
        <v>25241000000000</v>
      </c>
      <c r="Q269" s="5">
        <v>12654000000000</v>
      </c>
    </row>
    <row r="270" spans="2:17" ht="15.5" x14ac:dyDescent="0.35">
      <c r="C270" t="s">
        <v>233</v>
      </c>
      <c r="H270" s="6">
        <v>209.99</v>
      </c>
      <c r="I270" s="6">
        <v>209.99</v>
      </c>
      <c r="J270" s="6">
        <v>151.77000000000001</v>
      </c>
      <c r="K270" s="6">
        <v>128.07</v>
      </c>
      <c r="L270" s="6">
        <v>79.5</v>
      </c>
      <c r="M270" s="6">
        <v>38.74</v>
      </c>
      <c r="N270" s="6">
        <v>16.739999999999998</v>
      </c>
      <c r="O270" s="6">
        <v>2.82</v>
      </c>
      <c r="P270" s="6">
        <v>12.74</v>
      </c>
      <c r="Q270" s="6">
        <v>1.99</v>
      </c>
    </row>
    <row r="271" spans="2:17" ht="15.5" x14ac:dyDescent="0.35">
      <c r="C271" t="s">
        <v>234</v>
      </c>
      <c r="H271" s="6">
        <v>0.37030000000000002</v>
      </c>
      <c r="I271" s="6">
        <v>0.7</v>
      </c>
      <c r="J271" s="5">
        <v>1</v>
      </c>
      <c r="K271" s="5">
        <v>1</v>
      </c>
      <c r="L271" s="6">
        <v>0.5</v>
      </c>
      <c r="M271" s="6">
        <v>0.5</v>
      </c>
      <c r="N271" s="6">
        <v>0.35</v>
      </c>
      <c r="O271" s="6">
        <v>0.34960000000000002</v>
      </c>
      <c r="P271" s="6">
        <v>0.35009999999999997</v>
      </c>
      <c r="Q271" s="6">
        <v>0.3503</v>
      </c>
    </row>
    <row r="272" spans="2:17" ht="15.5" x14ac:dyDescent="0.35">
      <c r="C272" t="s">
        <v>235</v>
      </c>
      <c r="H272" s="6">
        <v>7.3700000000000002E-2</v>
      </c>
      <c r="I272" s="6">
        <v>6.5599999999999992E-2</v>
      </c>
      <c r="J272" s="6">
        <v>4.7400000000000005E-2</v>
      </c>
      <c r="K272" s="6">
        <v>7.7399999999999997E-2</v>
      </c>
      <c r="L272" s="6">
        <v>3.9599999999999996E-2</v>
      </c>
      <c r="M272" s="6">
        <v>1.55E-2</v>
      </c>
      <c r="N272" s="6">
        <v>7.1999999999999998E-3</v>
      </c>
      <c r="O272" s="6">
        <v>4.5999999999999999E-3</v>
      </c>
      <c r="P272" s="6">
        <v>1.61E-2</v>
      </c>
      <c r="Q272" s="6">
        <v>2.0999999999999999E-3</v>
      </c>
    </row>
    <row r="273" spans="3:9" ht="15.5" x14ac:dyDescent="0.35">
      <c r="C273" t="s">
        <v>236</v>
      </c>
      <c r="I273" s="6">
        <v>5.03</v>
      </c>
    </row>
    <row r="274" spans="3:9" ht="15.5" x14ac:dyDescent="0.35">
      <c r="C274" t="s">
        <v>237</v>
      </c>
      <c r="I274" s="6">
        <v>8.07</v>
      </c>
    </row>
    <row r="275" spans="3:9" ht="15.5" x14ac:dyDescent="0.35">
      <c r="C275" t="s">
        <v>238</v>
      </c>
      <c r="I275" s="6">
        <v>6.81</v>
      </c>
    </row>
    <row r="276" spans="3:9" ht="15.5" x14ac:dyDescent="0.35">
      <c r="C276" t="s">
        <v>239</v>
      </c>
      <c r="I276" s="6">
        <v>7.41</v>
      </c>
    </row>
    <row r="277" spans="3:9" ht="15.5" x14ac:dyDescent="0.35">
      <c r="C277" t="s">
        <v>240</v>
      </c>
      <c r="I277" s="6">
        <v>0.12390000000000001</v>
      </c>
    </row>
    <row r="278" spans="3:9" ht="15.5" x14ac:dyDescent="0.35">
      <c r="C278" t="s">
        <v>241</v>
      </c>
      <c r="I278" s="6">
        <v>0.78</v>
      </c>
    </row>
    <row r="279" spans="3:9" ht="15.5" x14ac:dyDescent="0.35">
      <c r="C279" t="s">
        <v>242</v>
      </c>
      <c r="I279" s="6">
        <v>1.76</v>
      </c>
    </row>
    <row r="280" spans="3:9" ht="15.5" x14ac:dyDescent="0.35">
      <c r="C280" t="s">
        <v>243</v>
      </c>
      <c r="I280" s="6">
        <v>-178.84</v>
      </c>
    </row>
    <row r="281" spans="3:9" ht="15.5" x14ac:dyDescent="0.35">
      <c r="C281" t="s">
        <v>244</v>
      </c>
      <c r="I281" s="6">
        <v>-78.33</v>
      </c>
    </row>
    <row r="282" spans="3:9" ht="15.5" x14ac:dyDescent="0.35">
      <c r="C282" t="s">
        <v>245</v>
      </c>
      <c r="I282" s="6">
        <v>6.52</v>
      </c>
    </row>
    <row r="283" spans="3:9" ht="15.5" x14ac:dyDescent="0.35">
      <c r="C283" t="s">
        <v>246</v>
      </c>
      <c r="I283" s="6">
        <v>5.96</v>
      </c>
    </row>
    <row r="284" spans="3:9" ht="15.5" x14ac:dyDescent="0.35">
      <c r="C284" t="s">
        <v>247</v>
      </c>
      <c r="I284" s="6">
        <v>0.08</v>
      </c>
    </row>
    <row r="285" spans="3:9" ht="15.5" x14ac:dyDescent="0.35">
      <c r="C285" t="s">
        <v>248</v>
      </c>
      <c r="I285" s="6">
        <v>0.34</v>
      </c>
    </row>
    <row r="286" spans="3:9" ht="15.5" x14ac:dyDescent="0.35">
      <c r="C286" t="s">
        <v>364</v>
      </c>
      <c r="I286" s="6">
        <v>0.56000000000000005</v>
      </c>
    </row>
    <row r="287" spans="3:9" ht="15.5" x14ac:dyDescent="0.35">
      <c r="C287" t="s">
        <v>249</v>
      </c>
      <c r="I287" s="6">
        <v>353.07</v>
      </c>
    </row>
    <row r="288" spans="3:9" ht="15.5" x14ac:dyDescent="0.35">
      <c r="C288" t="s">
        <v>250</v>
      </c>
      <c r="I288" s="6">
        <v>567.07000000000005</v>
      </c>
    </row>
    <row r="289" spans="3:9" ht="15.5" x14ac:dyDescent="0.35">
      <c r="C289" t="s">
        <v>251</v>
      </c>
      <c r="I289" s="6">
        <v>3654.24</v>
      </c>
    </row>
    <row r="290" spans="3:9" ht="15.5" x14ac:dyDescent="0.35">
      <c r="C290" t="s">
        <v>252</v>
      </c>
      <c r="D290" s="6">
        <v>376.12</v>
      </c>
    </row>
    <row r="291" spans="3:9" ht="15.5" x14ac:dyDescent="0.35">
      <c r="C291" t="s">
        <v>253</v>
      </c>
      <c r="I291" s="6">
        <v>1616.55</v>
      </c>
    </row>
    <row r="292" spans="3:9" ht="15.5" x14ac:dyDescent="0.35">
      <c r="C292" t="s">
        <v>254</v>
      </c>
      <c r="I292" s="6">
        <v>-36.380000000000003</v>
      </c>
    </row>
    <row r="293" spans="3:9" ht="15.5" x14ac:dyDescent="0.35">
      <c r="C293" t="s">
        <v>255</v>
      </c>
      <c r="D293" s="6">
        <v>1.98</v>
      </c>
    </row>
    <row r="294" spans="3:9" ht="15.5" x14ac:dyDescent="0.35">
      <c r="C294" t="s">
        <v>256</v>
      </c>
      <c r="D294" s="6">
        <v>0.97</v>
      </c>
    </row>
    <row r="295" spans="3:9" ht="15.5" x14ac:dyDescent="0.35">
      <c r="C295" t="s">
        <v>257</v>
      </c>
      <c r="D295" s="6">
        <v>0.14000000000000001</v>
      </c>
    </row>
    <row r="296" spans="3:9" ht="15.5" x14ac:dyDescent="0.35">
      <c r="C296" t="s">
        <v>259</v>
      </c>
      <c r="D296" s="6">
        <v>0.59</v>
      </c>
    </row>
    <row r="297" spans="3:9" ht="15.5" x14ac:dyDescent="0.35">
      <c r="C297" t="s">
        <v>260</v>
      </c>
      <c r="D297" s="6">
        <v>0.09</v>
      </c>
    </row>
    <row r="298" spans="3:9" ht="15.5" x14ac:dyDescent="0.35">
      <c r="C298" t="s">
        <v>261</v>
      </c>
      <c r="D298" s="6">
        <v>1.63</v>
      </c>
    </row>
    <row r="299" spans="3:9" ht="15.5" x14ac:dyDescent="0.35">
      <c r="C299" t="s">
        <v>262</v>
      </c>
      <c r="I299" s="6">
        <v>40.520000000000003</v>
      </c>
    </row>
    <row r="300" spans="3:9" ht="15.5" x14ac:dyDescent="0.35">
      <c r="C300" t="s">
        <v>11</v>
      </c>
      <c r="D300" s="5">
        <v>-3251000000000</v>
      </c>
    </row>
    <row r="301" spans="3:9" ht="15.5" x14ac:dyDescent="0.35">
      <c r="C301" t="s">
        <v>263</v>
      </c>
      <c r="I301" s="6">
        <v>5.71</v>
      </c>
    </row>
    <row r="302" spans="3:9" ht="15.5" x14ac:dyDescent="0.35">
      <c r="C302" t="s">
        <v>264</v>
      </c>
      <c r="I302" s="6">
        <v>0.13400000000000001</v>
      </c>
    </row>
    <row r="303" spans="3:9" ht="15.5" x14ac:dyDescent="0.35">
      <c r="C303" t="s">
        <v>265</v>
      </c>
      <c r="I303" s="6">
        <v>0.21840000000000001</v>
      </c>
    </row>
    <row r="304" spans="3:9" ht="15.5" x14ac:dyDescent="0.35">
      <c r="C304" t="s">
        <v>266</v>
      </c>
      <c r="I304" s="6">
        <v>0.22850000000000001</v>
      </c>
    </row>
    <row r="305" spans="3:9" ht="15.5" x14ac:dyDescent="0.35">
      <c r="C305" t="s">
        <v>267</v>
      </c>
      <c r="I305" s="6">
        <v>0.19399999999999998</v>
      </c>
    </row>
    <row r="306" spans="3:9" ht="15.5" x14ac:dyDescent="0.35">
      <c r="C306" t="s">
        <v>268</v>
      </c>
      <c r="D306" s="6">
        <v>8.4499999999999993</v>
      </c>
    </row>
    <row r="307" spans="3:9" ht="15.5" x14ac:dyDescent="0.35">
      <c r="C307" t="s">
        <v>269</v>
      </c>
      <c r="D307" s="6">
        <v>47.18</v>
      </c>
    </row>
    <row r="308" spans="3:9" ht="15.5" x14ac:dyDescent="0.35">
      <c r="C308" t="s">
        <v>270</v>
      </c>
      <c r="D308" s="6">
        <v>6.01</v>
      </c>
    </row>
    <row r="309" spans="3:9" ht="15.5" x14ac:dyDescent="0.35">
      <c r="C309" t="s">
        <v>271</v>
      </c>
      <c r="D309" s="6">
        <v>49.62</v>
      </c>
    </row>
    <row r="310" spans="3:9" ht="15.5" x14ac:dyDescent="0.35">
      <c r="C310" t="s">
        <v>272</v>
      </c>
      <c r="D310" s="6">
        <v>10.77</v>
      </c>
    </row>
    <row r="311" spans="3:9" ht="15.5" x14ac:dyDescent="0.35">
      <c r="C311" t="s">
        <v>273</v>
      </c>
      <c r="I311" s="6">
        <v>1.52</v>
      </c>
    </row>
    <row r="312" spans="3:9" ht="15.5" x14ac:dyDescent="0.35">
      <c r="C312" t="s">
        <v>274</v>
      </c>
      <c r="I312" s="6">
        <v>5.87</v>
      </c>
    </row>
    <row r="313" spans="3:9" ht="15.5" x14ac:dyDescent="0.35">
      <c r="C313" t="s">
        <v>38</v>
      </c>
      <c r="I313" s="5">
        <v>68488000000000</v>
      </c>
    </row>
    <row r="314" spans="3:9" ht="15.5" x14ac:dyDescent="0.35">
      <c r="C314" t="s">
        <v>275</v>
      </c>
      <c r="I314" s="5">
        <v>66597000000000</v>
      </c>
    </row>
    <row r="315" spans="3:9" ht="15.5" x14ac:dyDescent="0.35">
      <c r="C315" t="s">
        <v>276</v>
      </c>
      <c r="I315" s="5">
        <v>24030000000</v>
      </c>
    </row>
    <row r="316" spans="3:9" ht="15.5" x14ac:dyDescent="0.35">
      <c r="C316" t="s">
        <v>277</v>
      </c>
      <c r="I316" s="6">
        <v>0.34840000000000004</v>
      </c>
    </row>
    <row r="317" spans="3:9" ht="15.5" x14ac:dyDescent="0.35">
      <c r="C317" t="s">
        <v>278</v>
      </c>
      <c r="D317" s="6">
        <v>0.19149999999999998</v>
      </c>
    </row>
    <row r="318" spans="3:9" ht="15.5" x14ac:dyDescent="0.35">
      <c r="C318" t="s">
        <v>279</v>
      </c>
      <c r="D318" s="6">
        <v>0.15359999999999999</v>
      </c>
    </row>
    <row r="319" spans="3:9" ht="15.5" x14ac:dyDescent="0.35">
      <c r="C319" t="s">
        <v>280</v>
      </c>
      <c r="D319" s="6">
        <v>0.1162</v>
      </c>
    </row>
    <row r="320" spans="3:9" ht="15.5" x14ac:dyDescent="0.35">
      <c r="C320" t="s">
        <v>281</v>
      </c>
      <c r="D320" s="6">
        <v>0.12130000000000001</v>
      </c>
    </row>
    <row r="321" spans="3:9" ht="15.5" x14ac:dyDescent="0.35">
      <c r="C321" t="s">
        <v>282</v>
      </c>
      <c r="D321" s="6">
        <v>0.54459999999999997</v>
      </c>
    </row>
    <row r="322" spans="3:9" ht="15.5" x14ac:dyDescent="0.35">
      <c r="C322" t="s">
        <v>283</v>
      </c>
      <c r="D322" s="6">
        <v>0.59850000000000003</v>
      </c>
    </row>
    <row r="323" spans="3:9" ht="15.5" x14ac:dyDescent="0.35">
      <c r="C323" t="s">
        <v>284</v>
      </c>
      <c r="I323" s="6">
        <v>151.77000000000001</v>
      </c>
    </row>
    <row r="324" spans="3:9" ht="15.5" x14ac:dyDescent="0.35">
      <c r="C324" t="s">
        <v>285</v>
      </c>
      <c r="I324" s="6">
        <v>209.99</v>
      </c>
    </row>
    <row r="325" spans="3:9" ht="15.5" x14ac:dyDescent="0.35">
      <c r="C325" t="s">
        <v>286</v>
      </c>
      <c r="I325" s="6">
        <v>0.37030000000000002</v>
      </c>
    </row>
    <row r="326" spans="3:9" ht="15.5" x14ac:dyDescent="0.35">
      <c r="C326" t="s">
        <v>287</v>
      </c>
      <c r="I326" s="6">
        <v>7.3700000000000002E-2</v>
      </c>
    </row>
    <row r="327" spans="3:9" ht="15.5" x14ac:dyDescent="0.35">
      <c r="C327" t="s">
        <v>288</v>
      </c>
      <c r="I327" t="s">
        <v>433</v>
      </c>
    </row>
    <row r="328" spans="3:9" ht="15.5" x14ac:dyDescent="0.35">
      <c r="C328" t="s">
        <v>290</v>
      </c>
      <c r="I328" s="5">
        <v>6</v>
      </c>
    </row>
    <row r="329" spans="3:9" ht="15.5" x14ac:dyDescent="0.35">
      <c r="C329" t="s">
        <v>434</v>
      </c>
      <c r="I329" s="6">
        <v>0.6</v>
      </c>
    </row>
    <row r="330" spans="3:9" ht="15.5" x14ac:dyDescent="0.35">
      <c r="C330" t="s">
        <v>291</v>
      </c>
      <c r="I330" s="6">
        <v>0.3</v>
      </c>
    </row>
    <row r="331" spans="3:9" ht="15.5" x14ac:dyDescent="0.35">
      <c r="C331" t="s">
        <v>292</v>
      </c>
      <c r="I331" s="6">
        <v>0.97</v>
      </c>
    </row>
    <row r="332" spans="3:9" ht="15.5" x14ac:dyDescent="0.35">
      <c r="C332" t="s">
        <v>293</v>
      </c>
      <c r="I332" s="6">
        <v>0.74</v>
      </c>
    </row>
    <row r="333" spans="3:9" ht="15.5" x14ac:dyDescent="0.35">
      <c r="C333" t="s">
        <v>366</v>
      </c>
      <c r="I333" s="6">
        <v>0.78</v>
      </c>
    </row>
    <row r="334" spans="3:9" ht="15.5" x14ac:dyDescent="0.35">
      <c r="C334" t="s">
        <v>294</v>
      </c>
      <c r="I334" s="6">
        <v>0.64</v>
      </c>
    </row>
    <row r="335" spans="3:9" ht="15.5" x14ac:dyDescent="0.35">
      <c r="C335" t="s">
        <v>295</v>
      </c>
      <c r="I335" s="6">
        <v>0.35</v>
      </c>
    </row>
    <row r="336" spans="3:9" ht="15.5" x14ac:dyDescent="0.35">
      <c r="C336" t="s">
        <v>296</v>
      </c>
      <c r="I336" s="6">
        <v>0.54</v>
      </c>
    </row>
    <row r="337" spans="3:9" ht="15.5" x14ac:dyDescent="0.35">
      <c r="C337" t="s">
        <v>297</v>
      </c>
      <c r="I337" s="5">
        <v>87814000000000</v>
      </c>
    </row>
    <row r="338" spans="3:9" ht="15.5" x14ac:dyDescent="0.35">
      <c r="C338" t="s">
        <v>298</v>
      </c>
      <c r="I338" s="5">
        <v>15662000000000</v>
      </c>
    </row>
    <row r="339" spans="3:9" ht="15.5" x14ac:dyDescent="0.35">
      <c r="C339" t="s">
        <v>299</v>
      </c>
      <c r="I339" s="5">
        <v>11168000000000</v>
      </c>
    </row>
    <row r="340" spans="3:9" ht="15.5" x14ac:dyDescent="0.35">
      <c r="C340" t="s">
        <v>300</v>
      </c>
      <c r="I340" s="5">
        <v>8484000000000</v>
      </c>
    </row>
    <row r="341" spans="3:9" ht="15.5" x14ac:dyDescent="0.35">
      <c r="C341" t="s">
        <v>301</v>
      </c>
      <c r="D341" s="5">
        <v>9039000000000</v>
      </c>
    </row>
    <row r="342" spans="3:9" ht="15.5" x14ac:dyDescent="0.35">
      <c r="C342" t="s">
        <v>302</v>
      </c>
      <c r="D342" s="5">
        <v>63296000000000</v>
      </c>
    </row>
    <row r="343" spans="3:9" ht="15.5" x14ac:dyDescent="0.35">
      <c r="C343" t="s">
        <v>303</v>
      </c>
      <c r="D343" s="5">
        <v>22890000000000</v>
      </c>
    </row>
    <row r="344" spans="3:9" ht="15.5" x14ac:dyDescent="0.35">
      <c r="C344" t="s">
        <v>208</v>
      </c>
      <c r="D344" s="5">
        <v>16409000000000</v>
      </c>
    </row>
    <row r="345" spans="3:9" ht="15.5" x14ac:dyDescent="0.35">
      <c r="C345" t="s">
        <v>207</v>
      </c>
      <c r="I345" s="5">
        <v>38847000000000</v>
      </c>
    </row>
    <row r="346" spans="3:9" ht="15.5" x14ac:dyDescent="0.35">
      <c r="C346" t="s">
        <v>206</v>
      </c>
      <c r="D346" s="5">
        <v>39000000000</v>
      </c>
    </row>
    <row r="347" spans="3:9" ht="15.5" x14ac:dyDescent="0.35">
      <c r="C347" t="s">
        <v>205</v>
      </c>
      <c r="D347" s="5">
        <v>5550000000000</v>
      </c>
    </row>
    <row r="348" spans="3:9" ht="15.5" x14ac:dyDescent="0.35">
      <c r="C348" t="s">
        <v>22</v>
      </c>
      <c r="D348" s="5">
        <v>5589000000000</v>
      </c>
    </row>
    <row r="349" spans="3:9" ht="15.5" x14ac:dyDescent="0.35">
      <c r="C349" t="s">
        <v>19</v>
      </c>
      <c r="D349" s="5">
        <v>-3450000000000</v>
      </c>
    </row>
    <row r="350" spans="3:9" ht="15.5" x14ac:dyDescent="0.35">
      <c r="C350" t="s">
        <v>304</v>
      </c>
      <c r="I350" s="5">
        <v>40406000000000</v>
      </c>
    </row>
    <row r="351" spans="3:9" ht="15.5" x14ac:dyDescent="0.35">
      <c r="C351" t="s">
        <v>305</v>
      </c>
      <c r="I351" s="5">
        <v>-383000000000</v>
      </c>
    </row>
    <row r="352" spans="3:9" ht="15.5" x14ac:dyDescent="0.35">
      <c r="C352" t="s">
        <v>306</v>
      </c>
      <c r="I352" s="5">
        <v>-1939000000000</v>
      </c>
    </row>
    <row r="353" spans="3:9" ht="15.5" x14ac:dyDescent="0.35">
      <c r="C353" t="s">
        <v>307</v>
      </c>
      <c r="I353" s="5">
        <v>4434000000000</v>
      </c>
    </row>
    <row r="354" spans="3:9" ht="15.5" x14ac:dyDescent="0.35">
      <c r="C354" t="s">
        <v>308</v>
      </c>
      <c r="I354" s="5">
        <v>-491000000000</v>
      </c>
    </row>
    <row r="355" spans="3:9" ht="15.5" x14ac:dyDescent="0.35">
      <c r="C355" t="s">
        <v>309</v>
      </c>
      <c r="I355" s="5">
        <v>-874000000000</v>
      </c>
    </row>
  </sheetData>
  <pageMargins left="0.7" right="0.7" top="0.75" bottom="0.75" header="0.3" footer="0.3"/>
  <ignoredErrors>
    <ignoredError sqref="A1:Z1 A3:Z356 A2:B2 D2:Z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334"/>
  <sheetViews>
    <sheetView workbookViewId="0">
      <selection activeCell="C2" sqref="C2"/>
    </sheetView>
  </sheetViews>
  <sheetFormatPr defaultRowHeight="14.5" x14ac:dyDescent="0.35"/>
  <cols>
    <col min="1" max="1" width="38.83203125" customWidth="1"/>
    <col min="2" max="2" width="28.83203125" customWidth="1"/>
    <col min="3" max="3" width="32.83203125" customWidth="1"/>
    <col min="4" max="26" width="18.83203125" customWidth="1"/>
  </cols>
  <sheetData>
    <row r="1" spans="1:26" ht="15.5" x14ac:dyDescent="0.35">
      <c r="C1" t="s">
        <v>435</v>
      </c>
      <c r="D1" t="s">
        <v>1</v>
      </c>
      <c r="H1" t="s">
        <v>2</v>
      </c>
      <c r="I1" s="1">
        <v>46021.000138888892</v>
      </c>
      <c r="J1" s="1">
        <v>45656.000138888892</v>
      </c>
      <c r="K1" s="1">
        <v>45289.000138888892</v>
      </c>
      <c r="L1" s="1">
        <v>44925.000138888892</v>
      </c>
      <c r="M1" s="1">
        <v>44560.000138888892</v>
      </c>
      <c r="N1" s="1">
        <v>44195.000138888892</v>
      </c>
      <c r="O1" s="1">
        <v>43829.000138888892</v>
      </c>
      <c r="P1" s="1">
        <v>43462.000138888892</v>
      </c>
      <c r="Q1" s="1">
        <v>43098.000138888892</v>
      </c>
      <c r="R1" s="1">
        <v>42734.000138888892</v>
      </c>
      <c r="S1" s="1">
        <v>42368.000138888892</v>
      </c>
      <c r="T1" s="1">
        <v>42003.000138888892</v>
      </c>
      <c r="U1" s="1">
        <v>41638.000138888892</v>
      </c>
      <c r="V1" s="1">
        <v>41271.000138888892</v>
      </c>
      <c r="W1" s="1">
        <v>40907.000138888892</v>
      </c>
      <c r="X1" s="1">
        <v>40542.000138888892</v>
      </c>
      <c r="Y1" s="1">
        <v>40176.000138888892</v>
      </c>
      <c r="Z1" s="1">
        <v>39812.000138888892</v>
      </c>
    </row>
    <row r="2" spans="1:26" ht="15.5" x14ac:dyDescent="0.35">
      <c r="C2" t="e" vm="44">
        <v>#VALUE!</v>
      </c>
      <c r="D2" s="2" vm="45">
        <f ca="1">IFERROR(_xlfn.STOCKHISTORY("XIDX:" &amp; $C$1, D3, , 0, 0, 1), "Libur")</f>
        <v>5850</v>
      </c>
      <c r="H2" s="2">
        <f ca="1">_FV(C2,"Price")</f>
        <v>5925</v>
      </c>
      <c r="I2" s="2" vm="46">
        <f t="shared" ref="I2:Z2" ca="1" si="0">IFERROR(_xlfn.STOCKHISTORY("XIDX:" &amp; $C$1, I1, , 0, 0, 1), "Libur")</f>
        <v>8075</v>
      </c>
      <c r="J2" s="2" vm="47">
        <f t="shared" ca="1" si="0"/>
        <v>9675</v>
      </c>
      <c r="K2" s="2" vm="48">
        <f t="shared" ca="1" si="0"/>
        <v>9400</v>
      </c>
      <c r="L2" s="2" vm="49">
        <f t="shared" ca="1" si="0"/>
        <v>8550</v>
      </c>
      <c r="M2" s="2" vm="50">
        <f t="shared" ca="1" si="0"/>
        <v>7300</v>
      </c>
      <c r="N2" s="2" vm="51">
        <f t="shared" ca="1" si="0"/>
        <v>6770</v>
      </c>
      <c r="O2" s="2" vm="52">
        <f t="shared" ca="1" si="0"/>
        <v>6685</v>
      </c>
      <c r="P2" s="2" vm="53">
        <f t="shared" ca="1" si="0"/>
        <v>5200</v>
      </c>
      <c r="Q2" s="2" vm="54">
        <f t="shared" ca="1" si="0"/>
        <v>4380</v>
      </c>
      <c r="R2" s="2" vm="55">
        <f t="shared" ca="1" si="0"/>
        <v>3100</v>
      </c>
      <c r="S2" s="2" vm="56">
        <f t="shared" ca="1" si="0"/>
        <v>2660</v>
      </c>
      <c r="T2" s="2" vm="57">
        <f t="shared" ca="1" si="0"/>
        <v>2625</v>
      </c>
      <c r="U2" s="2" vm="58">
        <f t="shared" ca="1" si="0"/>
        <v>1920</v>
      </c>
      <c r="V2" s="2" vm="59">
        <f t="shared" ca="1" si="0"/>
        <v>1820</v>
      </c>
      <c r="W2" s="2" vm="60">
        <f t="shared" ca="1" si="0"/>
        <v>1600</v>
      </c>
      <c r="X2" s="2" vm="61">
        <f t="shared" ca="1" si="0"/>
        <v>1280</v>
      </c>
      <c r="Y2" s="2" vm="62">
        <f t="shared" ca="1" si="0"/>
        <v>945</v>
      </c>
      <c r="Z2" s="2" vm="63">
        <f t="shared" ca="1" si="0"/>
        <v>650</v>
      </c>
    </row>
    <row r="3" spans="1:26" ht="15.5" x14ac:dyDescent="0.35">
      <c r="D3" s="1">
        <v>46142.000138888892</v>
      </c>
    </row>
    <row r="4" spans="1:26" ht="15.5" x14ac:dyDescent="0.35">
      <c r="B4" t="s">
        <v>3</v>
      </c>
      <c r="C4" t="s">
        <v>4</v>
      </c>
      <c r="D4" s="2">
        <f>IFERROR(INDEX(D51:D500,MATCH($C$4,$C$51:$C$500,0)),"")</f>
        <v>29653619000000</v>
      </c>
      <c r="H4" s="2">
        <f>IFERROR(SUM(D4:G4)*(4/MAX(1,COUNT(D4:G4))),"")</f>
        <v>118614476000000</v>
      </c>
      <c r="I4" s="2">
        <f t="shared" ref="I4:Z4" si="1">IFERROR(INDEX(I51:I500,MATCH($C$4,$C$51:$C$500,0)),"")</f>
        <v>118572759000000</v>
      </c>
      <c r="J4" s="2">
        <f t="shared" si="1"/>
        <v>112776373000000</v>
      </c>
      <c r="K4" s="2">
        <f t="shared" si="1"/>
        <v>104050490000000</v>
      </c>
      <c r="L4" s="2">
        <f t="shared" si="1"/>
        <v>88824796000000</v>
      </c>
      <c r="M4" s="2">
        <f t="shared" si="1"/>
        <v>80306613000000</v>
      </c>
      <c r="N4" s="2">
        <f t="shared" si="1"/>
        <v>78563007000000</v>
      </c>
      <c r="O4" s="2">
        <f t="shared" si="1"/>
        <v>77446176000000</v>
      </c>
      <c r="P4" s="2">
        <f t="shared" si="1"/>
        <v>68763140000000</v>
      </c>
      <c r="Q4" s="2">
        <f t="shared" si="1"/>
        <v>64155939000000</v>
      </c>
      <c r="R4" s="2">
        <f t="shared" si="1"/>
        <v>59830367000000</v>
      </c>
      <c r="S4" s="2">
        <f t="shared" si="1"/>
        <v>57548714000000</v>
      </c>
      <c r="T4" s="2">
        <f t="shared" si="1"/>
        <v>51893723000000</v>
      </c>
      <c r="U4" s="2">
        <f t="shared" si="1"/>
        <v>41106887000000</v>
      </c>
      <c r="V4" s="2">
        <f t="shared" si="1"/>
        <v>34945120000000</v>
      </c>
      <c r="W4" s="2">
        <f t="shared" si="1"/>
        <v>24566852000000</v>
      </c>
      <c r="X4" s="2">
        <f t="shared" si="1"/>
        <v>20660602000000</v>
      </c>
      <c r="Y4" s="2">
        <f t="shared" si="1"/>
        <v>22931153000000</v>
      </c>
      <c r="Z4" s="2">
        <f t="shared" si="1"/>
        <v>19301181000000</v>
      </c>
    </row>
    <row r="5" spans="1:26" ht="15.5" x14ac:dyDescent="0.35">
      <c r="B5" t="s">
        <v>5</v>
      </c>
      <c r="C5" t="s">
        <v>6</v>
      </c>
      <c r="D5" s="2">
        <f>IFERROR(INDEX(D51:D500,MATCH($C$5,$C$51:$C$500,0)),"")</f>
        <v>13298307000000</v>
      </c>
      <c r="H5" s="2">
        <f>IFERROR(SUM(D5:G5)*(4/MAX(1,COUNT(D5:G5))),"")</f>
        <v>53193228000000</v>
      </c>
      <c r="I5" s="2">
        <f t="shared" ref="I5:Z5" si="2">IFERROR(INDEX(I51:I500,MATCH($C$5,$C$51:$C$500,0)),"")</f>
        <v>58882446000000</v>
      </c>
      <c r="J5" s="2">
        <f t="shared" si="2"/>
        <v>54493191000000</v>
      </c>
      <c r="K5" s="2">
        <f t="shared" si="2"/>
        <v>47533598000000</v>
      </c>
      <c r="L5" s="2">
        <f t="shared" si="2"/>
        <v>37413477000000</v>
      </c>
      <c r="M5" s="2">
        <f t="shared" si="2"/>
        <v>31849276000000</v>
      </c>
      <c r="N5" s="2">
        <f t="shared" si="2"/>
        <v>31018293000000</v>
      </c>
      <c r="O5" s="2">
        <f t="shared" si="2"/>
        <v>31131779000000</v>
      </c>
      <c r="P5" s="2">
        <f t="shared" si="2"/>
        <v>26766431000000</v>
      </c>
      <c r="Q5" s="2">
        <f t="shared" si="2"/>
        <v>24063606000000</v>
      </c>
      <c r="R5" s="2">
        <f t="shared" si="2"/>
        <v>27378282000000</v>
      </c>
      <c r="S5" s="2">
        <f t="shared" si="2"/>
        <v>17673517000000</v>
      </c>
      <c r="T5" s="2">
        <f t="shared" si="2"/>
        <v>16899359000000</v>
      </c>
      <c r="U5" s="2">
        <f t="shared" si="2"/>
        <v>13001904000000</v>
      </c>
      <c r="V5" s="2">
        <f t="shared" si="2"/>
        <v>11901780000000</v>
      </c>
      <c r="W5" s="2">
        <f t="shared" si="2"/>
        <v>10771720000000</v>
      </c>
      <c r="X5" s="2">
        <f t="shared" si="2"/>
        <v>0</v>
      </c>
      <c r="Y5" s="2">
        <f t="shared" si="2"/>
        <v>0</v>
      </c>
      <c r="Z5" s="2">
        <f t="shared" si="2"/>
        <v>0</v>
      </c>
    </row>
    <row r="6" spans="1:26" ht="15.5" x14ac:dyDescent="0.35">
      <c r="B6" t="s">
        <v>7</v>
      </c>
      <c r="C6" t="s">
        <v>8</v>
      </c>
      <c r="D6" s="2">
        <f>IFERROR(INDEX(D51:D500,MATCH($C$6,$C$51:$C$500,0)),"")</f>
        <v>259358793000000</v>
      </c>
      <c r="H6" s="2">
        <f>IFERROR(INDEX(D6:G6,COUNT(D6:G6)),"")</f>
        <v>259358793000000</v>
      </c>
      <c r="I6" s="2">
        <f t="shared" ref="I6:Z6" si="3">IFERROR(INDEX(I51:I500,MATCH($C$6,$C$51:$C$500,0)),"")</f>
        <v>281687555000000</v>
      </c>
      <c r="J6" s="2">
        <f t="shared" si="3"/>
        <v>262835087000000</v>
      </c>
      <c r="K6" s="2">
        <f t="shared" si="3"/>
        <v>242537593000000</v>
      </c>
      <c r="L6" s="2">
        <f t="shared" si="3"/>
        <v>221181655000000</v>
      </c>
      <c r="M6" s="2">
        <f t="shared" si="3"/>
        <v>202848934000000</v>
      </c>
      <c r="N6" s="2">
        <f t="shared" si="3"/>
        <v>184714709000000</v>
      </c>
      <c r="O6" s="2">
        <f t="shared" si="3"/>
        <v>174143156000000</v>
      </c>
      <c r="P6" s="2">
        <f t="shared" si="3"/>
        <v>151753427000000</v>
      </c>
      <c r="Q6" s="2">
        <f t="shared" si="3"/>
        <v>131401694000000</v>
      </c>
      <c r="R6" s="2">
        <f t="shared" si="3"/>
        <v>112715059000000</v>
      </c>
      <c r="S6" s="2">
        <f t="shared" si="3"/>
        <v>89624940000000</v>
      </c>
      <c r="T6" s="2">
        <f t="shared" si="3"/>
        <v>77920617000000</v>
      </c>
      <c r="U6" s="2">
        <f t="shared" si="3"/>
        <v>63966678000000</v>
      </c>
      <c r="V6" s="2">
        <f t="shared" si="3"/>
        <v>51897942000000</v>
      </c>
      <c r="W6" s="2">
        <f t="shared" si="3"/>
        <v>42027340000000</v>
      </c>
      <c r="X6" s="2">
        <f t="shared" si="3"/>
        <v>34107844000000</v>
      </c>
      <c r="Y6" s="2">
        <f t="shared" si="3"/>
        <v>27856693000000</v>
      </c>
      <c r="Z6" s="2">
        <f t="shared" si="3"/>
        <v>23279310000000</v>
      </c>
    </row>
    <row r="7" spans="1:26" ht="15.5" x14ac:dyDescent="0.35">
      <c r="B7" t="s">
        <v>9</v>
      </c>
      <c r="C7" t="s">
        <v>10</v>
      </c>
      <c r="D7" s="3">
        <f>IFERROR(INDEX(D51:D500,MATCH($C$7,$C$51:$C$500,0))/1000000000,"")</f>
        <v>123.28</v>
      </c>
      <c r="H7" s="3">
        <f>IFERROR(INDEX(D7:G7,COUNT(D7:G7)),"")</f>
        <v>123.28</v>
      </c>
      <c r="I7" s="3">
        <f t="shared" ref="I7:Z7" si="4">IFERROR(INDEX(I51:I500,MATCH($C$7,$C$51:$C$500,0))/1000000000,"")</f>
        <v>123.28</v>
      </c>
      <c r="J7" s="3">
        <f t="shared" si="4"/>
        <v>123.28</v>
      </c>
      <c r="K7" s="3">
        <f t="shared" si="4"/>
        <v>123.28</v>
      </c>
      <c r="L7" s="3">
        <f t="shared" si="4"/>
        <v>123.28</v>
      </c>
      <c r="M7" s="3">
        <f t="shared" si="4"/>
        <v>123.28</v>
      </c>
      <c r="N7" s="3">
        <f t="shared" si="4"/>
        <v>24.66</v>
      </c>
      <c r="O7" s="3">
        <f t="shared" si="4"/>
        <v>24.66</v>
      </c>
      <c r="P7" s="3">
        <f t="shared" si="4"/>
        <v>24.66</v>
      </c>
      <c r="Q7" s="3">
        <f t="shared" si="4"/>
        <v>24.66</v>
      </c>
      <c r="R7" s="3">
        <f t="shared" si="4"/>
        <v>24.66</v>
      </c>
      <c r="S7" s="3">
        <f t="shared" si="4"/>
        <v>24.66</v>
      </c>
      <c r="T7" s="3">
        <f t="shared" si="4"/>
        <v>24.66</v>
      </c>
      <c r="U7" s="3">
        <f t="shared" si="4"/>
        <v>24.66</v>
      </c>
      <c r="V7" s="3">
        <f t="shared" si="4"/>
        <v>24.66</v>
      </c>
      <c r="W7" s="3">
        <f t="shared" si="4"/>
        <v>24.66</v>
      </c>
      <c r="X7" s="3">
        <f t="shared" si="4"/>
        <v>24.66</v>
      </c>
      <c r="Y7" s="3">
        <f t="shared" si="4"/>
        <v>24.66</v>
      </c>
      <c r="Z7" s="3">
        <f t="shared" si="4"/>
        <v>24.66</v>
      </c>
    </row>
    <row r="8" spans="1:26" ht="15.5" x14ac:dyDescent="0.35">
      <c r="A8" t="s">
        <v>11</v>
      </c>
      <c r="B8" t="s">
        <v>12</v>
      </c>
      <c r="C8" t="s">
        <v>13</v>
      </c>
      <c r="D8" s="2">
        <f>IFERROR(INDEX(D51:D500,MATCH("Free cash flow (Quarter)",$C$51:$C$500,0)),"")</f>
        <v>47682000000000</v>
      </c>
      <c r="H8" s="2">
        <f>IFERROR(INDEX(D8:G8,COUNT(D8:G8)),"")</f>
        <v>47682000000000</v>
      </c>
      <c r="I8" s="2">
        <f t="shared" ref="I8:Z8" si="5">IFERROR(INDEX(I51:I500,MATCH($C$8,$C$51:$C$500,0)),"")</f>
        <v>75594000000000</v>
      </c>
      <c r="J8" s="2">
        <f t="shared" si="5"/>
        <v>50254000000000</v>
      </c>
      <c r="K8" s="2">
        <f t="shared" si="5"/>
        <v>53418000000000</v>
      </c>
      <c r="L8" s="2">
        <f t="shared" si="5"/>
        <v>31148000000000</v>
      </c>
      <c r="M8" s="2">
        <f t="shared" si="5"/>
        <v>123124000000000</v>
      </c>
      <c r="N8" s="2">
        <f t="shared" si="5"/>
        <v>48305000000000</v>
      </c>
      <c r="O8" s="2">
        <f t="shared" si="5"/>
        <v>49267000000000</v>
      </c>
      <c r="P8" s="2">
        <f t="shared" si="5"/>
        <v>2565000000000</v>
      </c>
      <c r="Q8" s="2">
        <f t="shared" si="5"/>
        <v>7922000000000</v>
      </c>
      <c r="R8" s="2">
        <f t="shared" si="5"/>
        <v>42939000000000</v>
      </c>
      <c r="S8" s="2">
        <f t="shared" si="5"/>
        <v>26926000000000</v>
      </c>
      <c r="T8" s="2">
        <f t="shared" si="5"/>
        <v>32475000000000</v>
      </c>
      <c r="U8" s="2">
        <f t="shared" si="5"/>
        <v>-7127000000000</v>
      </c>
      <c r="V8" s="2">
        <f t="shared" si="5"/>
        <v>24503000000000</v>
      </c>
      <c r="W8" s="2">
        <f t="shared" si="5"/>
        <v>-38956000000000</v>
      </c>
      <c r="X8" s="2">
        <f t="shared" si="5"/>
        <v>1593000000000</v>
      </c>
      <c r="Y8" s="2">
        <f t="shared" si="5"/>
        <v>-19591000000000</v>
      </c>
      <c r="Z8" s="2">
        <f t="shared" si="5"/>
        <v>-2758000000000</v>
      </c>
    </row>
    <row r="9" spans="1:26" ht="15.5" x14ac:dyDescent="0.35">
      <c r="A9" t="s">
        <v>14</v>
      </c>
      <c r="C9" t="s">
        <v>15</v>
      </c>
      <c r="D9" s="3">
        <f>IFERROR(INDEX(D51:D500,MATCH("Free cash flow per share (Quarter)",$C$51:$C$500,0)),"")</f>
        <v>386.8</v>
      </c>
      <c r="H9" s="3">
        <f>IFERROR(INDEX(D9:G9,COUNT(D9:G9)),"")</f>
        <v>386.8</v>
      </c>
      <c r="I9" s="3">
        <f t="shared" ref="I9:Z9" si="6">IFERROR(INDEX(I51:I500,MATCH($C$9,$C$51:$C$500,0)),"")</f>
        <v>613.21</v>
      </c>
      <c r="J9" s="3">
        <f t="shared" si="6"/>
        <v>407.66</v>
      </c>
      <c r="K9" s="3">
        <f t="shared" si="6"/>
        <v>433.32</v>
      </c>
      <c r="L9" s="3">
        <f t="shared" si="6"/>
        <v>252.67</v>
      </c>
      <c r="M9" s="3">
        <f t="shared" si="6"/>
        <v>998.78</v>
      </c>
      <c r="N9" s="3">
        <f t="shared" si="6"/>
        <v>1959.24</v>
      </c>
      <c r="O9" s="3">
        <f t="shared" si="6"/>
        <v>1998.25</v>
      </c>
      <c r="P9" s="3">
        <f t="shared" si="6"/>
        <v>104.05</v>
      </c>
      <c r="Q9" s="3">
        <f t="shared" si="6"/>
        <v>321.31</v>
      </c>
      <c r="R9" s="3">
        <f t="shared" si="6"/>
        <v>1741.6</v>
      </c>
      <c r="S9" s="3">
        <f t="shared" si="6"/>
        <v>1092.0999999999999</v>
      </c>
      <c r="T9" s="3">
        <f t="shared" si="6"/>
        <v>1317.19</v>
      </c>
      <c r="U9" s="3">
        <f t="shared" si="6"/>
        <v>-289.07</v>
      </c>
      <c r="V9" s="3">
        <f t="shared" si="6"/>
        <v>993.84</v>
      </c>
      <c r="W9" s="3">
        <f t="shared" si="6"/>
        <v>-1580.04</v>
      </c>
      <c r="X9" s="3">
        <f t="shared" si="6"/>
        <v>64.62</v>
      </c>
      <c r="Y9" s="3">
        <f t="shared" si="6"/>
        <v>-794.6</v>
      </c>
      <c r="Z9" s="3">
        <f t="shared" si="6"/>
        <v>-111.87</v>
      </c>
    </row>
    <row r="10" spans="1:26" ht="15.5" x14ac:dyDescent="0.35">
      <c r="C10" t="s">
        <v>16</v>
      </c>
      <c r="D10" s="3">
        <f ca="1">IFERROR(IF(D9=0,"",D2/D9),"")</f>
        <v>15.124095139607032</v>
      </c>
      <c r="I10" s="3">
        <f t="shared" ref="I10:Z10" ca="1" si="7">IFERROR(IF(I9=0,"",I2/I9),"")</f>
        <v>13.168408864826079</v>
      </c>
      <c r="J10" s="3">
        <f t="shared" ca="1" si="7"/>
        <v>23.733012804788302</v>
      </c>
      <c r="K10" s="3">
        <f t="shared" ca="1" si="7"/>
        <v>21.692975168466724</v>
      </c>
      <c r="L10" s="3">
        <f t="shared" ca="1" si="7"/>
        <v>33.838603712352082</v>
      </c>
      <c r="M10" s="3">
        <f t="shared" ca="1" si="7"/>
        <v>7.3089168785918819</v>
      </c>
      <c r="N10" s="3">
        <f t="shared" ca="1" si="7"/>
        <v>3.4554214899654969</v>
      </c>
      <c r="O10" s="3">
        <f t="shared" ca="1" si="7"/>
        <v>3.3454272488427375</v>
      </c>
      <c r="P10" s="3">
        <f t="shared" ca="1" si="7"/>
        <v>49.975973089860645</v>
      </c>
      <c r="Q10" s="3">
        <f t="shared" ca="1" si="7"/>
        <v>13.631695247580218</v>
      </c>
      <c r="R10" s="3">
        <f t="shared" ca="1" si="7"/>
        <v>1.7799724391364264</v>
      </c>
      <c r="S10" s="3">
        <f t="shared" ca="1" si="7"/>
        <v>2.4356743887922354</v>
      </c>
      <c r="T10" s="3">
        <f t="shared" ca="1" si="7"/>
        <v>1.9928787798267522</v>
      </c>
      <c r="U10" s="3">
        <f t="shared" ca="1" si="7"/>
        <v>-6.6419898294530739</v>
      </c>
      <c r="V10" s="3">
        <f t="shared" ca="1" si="7"/>
        <v>1.8312806890445141</v>
      </c>
      <c r="W10" s="3">
        <f t="shared" ca="1" si="7"/>
        <v>-1.0126325915799601</v>
      </c>
      <c r="X10" s="3">
        <f t="shared" ca="1" si="7"/>
        <v>19.808108944599194</v>
      </c>
      <c r="Y10" s="3">
        <f t="shared" ca="1" si="7"/>
        <v>-1.1892776239617417</v>
      </c>
      <c r="Z10" s="3">
        <f t="shared" ca="1" si="7"/>
        <v>-5.8103155448288186</v>
      </c>
    </row>
    <row r="11" spans="1:26" ht="15.5" x14ac:dyDescent="0.35">
      <c r="B11" t="s">
        <v>17</v>
      </c>
      <c r="C11" t="s">
        <v>18</v>
      </c>
      <c r="D11" s="2">
        <f>IFERROR(INDEX(D51:D500,MATCH($C$11,$C$51:$C$500,0)),"")</f>
        <v>23963776000000</v>
      </c>
      <c r="H11" s="2">
        <f>IFERROR(INDEX(D11:G11,COUNT(D11:G11)),"")</f>
        <v>23963776000000</v>
      </c>
      <c r="I11" s="2">
        <f t="shared" ref="I11:Z11" si="8">IFERROR(INDEX(I51:I500,MATCH($C$11,$C$51:$C$500,0)),"")</f>
        <v>25305031000000</v>
      </c>
      <c r="J11" s="2">
        <f t="shared" si="8"/>
        <v>29315878000000</v>
      </c>
      <c r="K11" s="2">
        <f t="shared" si="8"/>
        <v>21701514000000</v>
      </c>
      <c r="L11" s="2">
        <f t="shared" si="8"/>
        <v>21359509000000</v>
      </c>
      <c r="M11" s="2">
        <f t="shared" si="8"/>
        <v>23615635000000</v>
      </c>
      <c r="N11" s="2">
        <f t="shared" si="8"/>
        <v>24322335000000</v>
      </c>
      <c r="O11" s="2">
        <f t="shared" si="8"/>
        <v>25421406000000</v>
      </c>
      <c r="P11" s="2">
        <f t="shared" si="8"/>
        <v>21691443000000</v>
      </c>
      <c r="Q11" s="2">
        <f t="shared" si="8"/>
        <v>16754289000000</v>
      </c>
      <c r="R11" s="2">
        <f t="shared" si="8"/>
        <v>15943854000000</v>
      </c>
      <c r="S11" s="2">
        <f t="shared" si="8"/>
        <v>17849460000000</v>
      </c>
      <c r="T11" s="2">
        <f t="shared" si="8"/>
        <v>19577571000000</v>
      </c>
      <c r="U11" s="2">
        <f t="shared" si="8"/>
        <v>16284142000000</v>
      </c>
      <c r="V11" s="2">
        <f t="shared" si="8"/>
        <v>11054208000000</v>
      </c>
      <c r="W11" s="2">
        <f t="shared" si="8"/>
        <v>10355620000000</v>
      </c>
      <c r="X11" s="2">
        <f t="shared" si="8"/>
        <v>9639057000000</v>
      </c>
      <c r="Y11" s="2">
        <f t="shared" si="8"/>
        <v>8865151000000</v>
      </c>
      <c r="Z11" s="2">
        <f t="shared" si="8"/>
        <v>10798921000000</v>
      </c>
    </row>
    <row r="12" spans="1:26" ht="15.5" x14ac:dyDescent="0.35">
      <c r="A12" t="s">
        <v>19</v>
      </c>
      <c r="B12" t="s">
        <v>20</v>
      </c>
      <c r="C12" t="s">
        <v>21</v>
      </c>
      <c r="D12" s="2">
        <f>IFERROR(INDEX(D51:D500,MATCH("Net Debt (Quarter)",$C$51:$C$500,0)),"")</f>
        <v>0</v>
      </c>
      <c r="H12" s="2">
        <f>IFERROR(INDEX(D12:G12,COUNT(D12:G12)),"")</f>
        <v>0</v>
      </c>
      <c r="I12" s="2">
        <f t="shared" ref="I12:Z12" si="9">IFERROR(INDEX(I51:I500,MATCH($C$12,$C$51:$C$500,0)),"")</f>
        <v>0</v>
      </c>
      <c r="J12" s="2">
        <f t="shared" si="9"/>
        <v>0</v>
      </c>
      <c r="K12" s="2">
        <f t="shared" si="9"/>
        <v>0</v>
      </c>
      <c r="L12" s="2">
        <f t="shared" si="9"/>
        <v>0</v>
      </c>
      <c r="M12" s="2">
        <f t="shared" si="9"/>
        <v>0</v>
      </c>
      <c r="N12" s="2">
        <f t="shared" si="9"/>
        <v>0</v>
      </c>
      <c r="O12" s="2">
        <f t="shared" si="9"/>
        <v>0</v>
      </c>
      <c r="P12" s="2">
        <f t="shared" si="9"/>
        <v>0</v>
      </c>
      <c r="Q12" s="2">
        <f t="shared" si="9"/>
        <v>0</v>
      </c>
      <c r="R12" s="2">
        <f t="shared" si="9"/>
        <v>0</v>
      </c>
      <c r="S12" s="2">
        <f t="shared" si="9"/>
        <v>0</v>
      </c>
      <c r="T12" s="2">
        <f t="shared" si="9"/>
        <v>0</v>
      </c>
      <c r="U12" s="2">
        <f t="shared" si="9"/>
        <v>0</v>
      </c>
      <c r="V12" s="2">
        <f t="shared" si="9"/>
        <v>0</v>
      </c>
      <c r="W12" s="2">
        <f t="shared" si="9"/>
        <v>0</v>
      </c>
      <c r="X12" s="2">
        <f t="shared" si="9"/>
        <v>0</v>
      </c>
      <c r="Y12" s="2">
        <f t="shared" si="9"/>
        <v>0</v>
      </c>
      <c r="Z12" s="2">
        <f t="shared" si="9"/>
        <v>0</v>
      </c>
    </row>
    <row r="13" spans="1:26" ht="15.5" x14ac:dyDescent="0.35">
      <c r="A13" t="s">
        <v>22</v>
      </c>
      <c r="B13" t="s">
        <v>23</v>
      </c>
      <c r="C13" t="s">
        <v>24</v>
      </c>
      <c r="D13" s="2">
        <f>IFERROR(INDEX(D51:D500,MATCH("Total Debt (Quarter)",$C$51:$C$500,0)),"")</f>
        <v>0</v>
      </c>
      <c r="H13" s="2">
        <f>IFERROR(INDEX(D13:G13,COUNT(D13:G13)),"")</f>
        <v>0</v>
      </c>
      <c r="I13" s="2">
        <f t="shared" ref="I13:Z13" si="10">IFERROR(INDEX(I51:I500,MATCH($C$13,$C$51:$C$500,0)),"")</f>
        <v>0</v>
      </c>
      <c r="J13" s="2">
        <f t="shared" si="10"/>
        <v>0</v>
      </c>
      <c r="K13" s="2">
        <f t="shared" si="10"/>
        <v>0</v>
      </c>
      <c r="L13" s="2">
        <f t="shared" si="10"/>
        <v>0</v>
      </c>
      <c r="M13" s="2">
        <f t="shared" si="10"/>
        <v>0</v>
      </c>
      <c r="N13" s="2">
        <f t="shared" si="10"/>
        <v>0</v>
      </c>
      <c r="O13" s="2">
        <f t="shared" si="10"/>
        <v>0</v>
      </c>
      <c r="P13" s="2">
        <f t="shared" si="10"/>
        <v>0</v>
      </c>
      <c r="Q13" s="2">
        <f t="shared" si="10"/>
        <v>0</v>
      </c>
      <c r="R13" s="2">
        <f t="shared" si="10"/>
        <v>0</v>
      </c>
      <c r="S13" s="2">
        <f t="shared" si="10"/>
        <v>0</v>
      </c>
      <c r="T13" s="2">
        <f t="shared" si="10"/>
        <v>0</v>
      </c>
      <c r="U13" s="2">
        <f t="shared" si="10"/>
        <v>0</v>
      </c>
      <c r="V13" s="2">
        <f t="shared" si="10"/>
        <v>0</v>
      </c>
      <c r="W13" s="2">
        <f t="shared" si="10"/>
        <v>0</v>
      </c>
      <c r="X13" s="2">
        <f t="shared" si="10"/>
        <v>0</v>
      </c>
      <c r="Y13" s="2">
        <f t="shared" si="10"/>
        <v>0</v>
      </c>
      <c r="Z13" s="2">
        <f t="shared" si="10"/>
        <v>0</v>
      </c>
    </row>
    <row r="14" spans="1:26" ht="15.5" x14ac:dyDescent="0.35">
      <c r="C14" t="s">
        <v>25</v>
      </c>
      <c r="D14" s="2" t="str">
        <f>IFERROR(INDEX(D51:D500,MATCH($C$14,$C$51:$C$500,0)),"")</f>
        <v/>
      </c>
      <c r="H14" s="2">
        <f>IFERROR(SUM(D14:G14)*(4/MAX(1,COUNT(D14:G14))),"")</f>
        <v>0</v>
      </c>
      <c r="I14" s="2" t="str">
        <f t="shared" ref="I14:Z14" si="11">IFERROR(INDEX(I51:I500,MATCH($C$14,$C$51:$C$500,0)),"")</f>
        <v/>
      </c>
      <c r="J14" s="2" t="str">
        <f t="shared" si="11"/>
        <v/>
      </c>
      <c r="K14" s="2" t="str">
        <f t="shared" si="11"/>
        <v/>
      </c>
      <c r="L14" s="2" t="str">
        <f t="shared" si="11"/>
        <v/>
      </c>
      <c r="M14" s="2" t="str">
        <f t="shared" si="11"/>
        <v/>
      </c>
      <c r="N14" s="2" t="str">
        <f t="shared" si="11"/>
        <v/>
      </c>
      <c r="O14" s="2" t="str">
        <f t="shared" si="11"/>
        <v/>
      </c>
      <c r="P14" s="2" t="str">
        <f t="shared" si="11"/>
        <v/>
      </c>
      <c r="Q14" s="2" t="str">
        <f t="shared" si="11"/>
        <v/>
      </c>
      <c r="R14" s="2" t="str">
        <f t="shared" si="11"/>
        <v/>
      </c>
      <c r="S14" s="2" t="str">
        <f t="shared" si="11"/>
        <v/>
      </c>
      <c r="T14" s="2" t="str">
        <f t="shared" si="11"/>
        <v/>
      </c>
      <c r="U14" s="2" t="str">
        <f t="shared" si="11"/>
        <v/>
      </c>
      <c r="V14" s="2" t="str">
        <f t="shared" si="11"/>
        <v/>
      </c>
      <c r="W14" s="2" t="str">
        <f t="shared" si="11"/>
        <v/>
      </c>
      <c r="X14" s="2" t="str">
        <f t="shared" si="11"/>
        <v/>
      </c>
      <c r="Y14" s="2" t="str">
        <f t="shared" si="11"/>
        <v/>
      </c>
      <c r="Z14" s="2" t="str">
        <f t="shared" si="11"/>
        <v/>
      </c>
    </row>
    <row r="15" spans="1:26" ht="15.5" x14ac:dyDescent="0.35">
      <c r="C15" t="s">
        <v>26</v>
      </c>
      <c r="D15" s="2">
        <f>IFERROR(INDEX(D51:D500,MATCH($C$15,$C$51:$C$500,0)),"")</f>
        <v>-3387273000000</v>
      </c>
      <c r="H15" s="2">
        <f>IFERROR(SUM(D15:G15)*(4/MAX(1,COUNT(D15:G15))),"")</f>
        <v>-13549092000000</v>
      </c>
      <c r="I15" s="2">
        <f t="shared" ref="I15:Z15" si="12">IFERROR(INDEX(I51:I500,MATCH($C$15,$C$51:$C$500,0)),"")</f>
        <v>-13697783000000</v>
      </c>
      <c r="J15" s="2">
        <f t="shared" si="12"/>
        <v>-13366576000000</v>
      </c>
      <c r="K15" s="2">
        <f t="shared" si="12"/>
        <v>-11521662000000</v>
      </c>
      <c r="L15" s="2">
        <f t="shared" si="12"/>
        <v>-9711461000000</v>
      </c>
      <c r="M15" s="2">
        <f t="shared" si="12"/>
        <v>-7401015000000</v>
      </c>
      <c r="N15" s="2">
        <f t="shared" si="12"/>
        <v>-6421398000000</v>
      </c>
      <c r="O15" s="2">
        <f t="shared" si="12"/>
        <v>-7719024000000</v>
      </c>
      <c r="P15" s="2">
        <f t="shared" si="12"/>
        <v>-6854404000000</v>
      </c>
      <c r="Q15" s="2">
        <f t="shared" si="12"/>
        <v>-5837593000000</v>
      </c>
      <c r="R15" s="2">
        <f t="shared" si="12"/>
        <v>-5206919000000</v>
      </c>
      <c r="S15" s="2">
        <f t="shared" si="12"/>
        <v>-4621346000000</v>
      </c>
      <c r="T15" s="2">
        <f t="shared" si="12"/>
        <v>-4229451000000</v>
      </c>
      <c r="U15" s="2">
        <f t="shared" si="12"/>
        <v>-3559367000000</v>
      </c>
      <c r="V15" s="2">
        <f t="shared" si="12"/>
        <v>-2967586000000</v>
      </c>
      <c r="W15" s="2">
        <f t="shared" si="12"/>
        <v>-2800960000000</v>
      </c>
      <c r="X15" s="2">
        <f t="shared" si="12"/>
        <v>-2173996000000</v>
      </c>
      <c r="Y15" s="2">
        <f t="shared" si="12"/>
        <v>-2137850000000</v>
      </c>
      <c r="Z15" s="2">
        <f t="shared" si="12"/>
        <v>-1943904000000</v>
      </c>
    </row>
    <row r="16" spans="1:26" ht="15.5" x14ac:dyDescent="0.35">
      <c r="C16" t="s">
        <v>27</v>
      </c>
      <c r="D16" s="2">
        <f>IFERROR(INDEX(D51:D500,MATCH($C$16,$C$51:$C$500,0)),"")</f>
        <v>18077072000000</v>
      </c>
      <c r="H16" s="2">
        <f>IFERROR(SUM(D16:G16)*(4/MAX(1,COUNT(D16:G16))),"")</f>
        <v>72308288000000</v>
      </c>
      <c r="I16" s="2">
        <f t="shared" ref="I16:Z16" si="13">IFERROR(INDEX(I51:I500,MATCH($C$16,$C$51:$C$500,0)),"")</f>
        <v>71260876000000</v>
      </c>
      <c r="J16" s="2">
        <f t="shared" si="13"/>
        <v>68217850000000</v>
      </c>
      <c r="K16" s="2">
        <f t="shared" si="13"/>
        <v>60179757000000</v>
      </c>
      <c r="L16" s="2">
        <f t="shared" si="13"/>
        <v>50467033000000</v>
      </c>
      <c r="M16" s="2">
        <f t="shared" si="13"/>
        <v>38841174000000</v>
      </c>
      <c r="N16" s="2">
        <f t="shared" si="13"/>
        <v>33568507000000</v>
      </c>
      <c r="O16" s="2">
        <f t="shared" si="13"/>
        <v>36288998000000</v>
      </c>
      <c r="P16" s="2">
        <f t="shared" si="13"/>
        <v>32706064000000</v>
      </c>
      <c r="Q16" s="2">
        <f t="shared" si="13"/>
        <v>29158743000000</v>
      </c>
      <c r="R16" s="2">
        <f t="shared" si="13"/>
        <v>25839200000000</v>
      </c>
      <c r="S16" s="2">
        <f t="shared" si="13"/>
        <v>22657114000000</v>
      </c>
      <c r="T16" s="2">
        <f t="shared" si="13"/>
        <v>20741121000000</v>
      </c>
      <c r="U16" s="2">
        <f t="shared" si="13"/>
        <v>17815606000000</v>
      </c>
      <c r="V16" s="2">
        <f t="shared" si="13"/>
        <v>14686046000000</v>
      </c>
      <c r="W16" s="2">
        <f t="shared" si="13"/>
        <v>13618758000000</v>
      </c>
      <c r="X16" s="2">
        <f t="shared" si="13"/>
        <v>10653269000000</v>
      </c>
      <c r="Y16" s="2">
        <f t="shared" si="13"/>
        <v>8945092000000</v>
      </c>
      <c r="Z16" s="2">
        <f t="shared" si="13"/>
        <v>7720043000000</v>
      </c>
    </row>
    <row r="17" spans="1:26" ht="15.5" x14ac:dyDescent="0.35">
      <c r="A17" t="s">
        <v>28</v>
      </c>
    </row>
    <row r="18" spans="1:26" ht="15.5" x14ac:dyDescent="0.35">
      <c r="A18" t="s">
        <v>29</v>
      </c>
      <c r="D18" t="s">
        <v>1</v>
      </c>
      <c r="H18" t="s">
        <v>2</v>
      </c>
      <c r="I18" t="s">
        <v>30</v>
      </c>
      <c r="J18" t="s">
        <v>31</v>
      </c>
      <c r="K18" t="s">
        <v>32</v>
      </c>
      <c r="L18" t="s">
        <v>33</v>
      </c>
      <c r="M18" t="s">
        <v>34</v>
      </c>
      <c r="N18" t="s">
        <v>311</v>
      </c>
      <c r="O18" t="s">
        <v>312</v>
      </c>
      <c r="P18" t="s">
        <v>313</v>
      </c>
      <c r="Q18" t="s">
        <v>314</v>
      </c>
      <c r="R18" t="s">
        <v>315</v>
      </c>
      <c r="S18" t="s">
        <v>316</v>
      </c>
      <c r="T18" t="s">
        <v>317</v>
      </c>
      <c r="U18" t="s">
        <v>318</v>
      </c>
      <c r="V18" t="s">
        <v>319</v>
      </c>
      <c r="W18" t="s">
        <v>320</v>
      </c>
      <c r="X18" t="s">
        <v>321</v>
      </c>
      <c r="Y18" t="s">
        <v>322</v>
      </c>
      <c r="Z18" t="s">
        <v>323</v>
      </c>
    </row>
    <row r="19" spans="1:26" ht="15.5" x14ac:dyDescent="0.35">
      <c r="A19" t="s">
        <v>35</v>
      </c>
      <c r="C19" t="s">
        <v>36</v>
      </c>
    </row>
    <row r="20" spans="1:26" ht="15.5" x14ac:dyDescent="0.35">
      <c r="A20" t="s">
        <v>37</v>
      </c>
      <c r="C20" t="s">
        <v>38</v>
      </c>
      <c r="D20" s="2">
        <f ca="1">IFERROR(D21*D2,"")</f>
        <v>721188000000000</v>
      </c>
      <c r="H20" s="2">
        <f t="shared" ref="H20:Z20" ca="1" si="14">IFERROR(H21*H2,"")</f>
        <v>730434000000000</v>
      </c>
      <c r="I20" s="2">
        <f t="shared" ca="1" si="14"/>
        <v>995486000000000</v>
      </c>
      <c r="J20" s="2">
        <f t="shared" ca="1" si="14"/>
        <v>1192734000000000</v>
      </c>
      <c r="K20" s="2">
        <f t="shared" ca="1" si="14"/>
        <v>1158832000000000</v>
      </c>
      <c r="L20" s="2">
        <f t="shared" ca="1" si="14"/>
        <v>1054044000000000</v>
      </c>
      <c r="M20" s="2">
        <f t="shared" ca="1" si="14"/>
        <v>899944000000000</v>
      </c>
      <c r="N20" s="2">
        <f t="shared" ca="1" si="14"/>
        <v>166948200000000</v>
      </c>
      <c r="O20" s="2">
        <f t="shared" ca="1" si="14"/>
        <v>164852100000000</v>
      </c>
      <c r="P20" s="2">
        <f t="shared" ca="1" si="14"/>
        <v>128232000000000</v>
      </c>
      <c r="Q20" s="2">
        <f t="shared" ca="1" si="14"/>
        <v>108010800000000</v>
      </c>
      <c r="R20" s="2">
        <f t="shared" ca="1" si="14"/>
        <v>76446000000000</v>
      </c>
      <c r="S20" s="2">
        <f t="shared" ca="1" si="14"/>
        <v>65595600000000</v>
      </c>
      <c r="T20" s="2">
        <f t="shared" ca="1" si="14"/>
        <v>64732500000000</v>
      </c>
      <c r="U20" s="2">
        <f t="shared" ca="1" si="14"/>
        <v>47347200000000</v>
      </c>
      <c r="V20" s="2">
        <f t="shared" ca="1" si="14"/>
        <v>44881200000000</v>
      </c>
      <c r="W20" s="2">
        <f t="shared" ca="1" si="14"/>
        <v>39456000000000</v>
      </c>
      <c r="X20" s="2">
        <f t="shared" ca="1" si="14"/>
        <v>31564800000000</v>
      </c>
      <c r="Y20" s="2">
        <f t="shared" ca="1" si="14"/>
        <v>23303700000000</v>
      </c>
      <c r="Z20" s="2">
        <f t="shared" ca="1" si="14"/>
        <v>16029000000000</v>
      </c>
    </row>
    <row r="21" spans="1:26" ht="15.5" x14ac:dyDescent="0.35">
      <c r="C21" t="s">
        <v>10</v>
      </c>
      <c r="D21" s="2">
        <f>IFERROR(INDEX(D51:D500,MATCH($C$7,$C$51:$C$500,0)),"")</f>
        <v>123280000000</v>
      </c>
      <c r="H21" s="2">
        <f>IFERROR(INDEX(D21:G21,COUNT(D21:G21)),"")</f>
        <v>123280000000</v>
      </c>
      <c r="I21" s="2">
        <f t="shared" ref="I21:Z21" si="15">IFERROR(INDEX(I51:I500,MATCH($C$7,$C$51:$C$500,0)),"")</f>
        <v>123280000000</v>
      </c>
      <c r="J21" s="2">
        <f t="shared" si="15"/>
        <v>123280000000</v>
      </c>
      <c r="K21" s="2">
        <f t="shared" si="15"/>
        <v>123280000000</v>
      </c>
      <c r="L21" s="2">
        <f t="shared" si="15"/>
        <v>123280000000</v>
      </c>
      <c r="M21" s="2">
        <f t="shared" si="15"/>
        <v>123280000000</v>
      </c>
      <c r="N21" s="2">
        <f t="shared" si="15"/>
        <v>24660000000</v>
      </c>
      <c r="O21" s="2">
        <f t="shared" si="15"/>
        <v>24660000000</v>
      </c>
      <c r="P21" s="2">
        <f t="shared" si="15"/>
        <v>24660000000</v>
      </c>
      <c r="Q21" s="2">
        <f t="shared" si="15"/>
        <v>24660000000</v>
      </c>
      <c r="R21" s="2">
        <f t="shared" si="15"/>
        <v>24660000000</v>
      </c>
      <c r="S21" s="2">
        <f t="shared" si="15"/>
        <v>24660000000</v>
      </c>
      <c r="T21" s="2">
        <f t="shared" si="15"/>
        <v>24660000000</v>
      </c>
      <c r="U21" s="2">
        <f t="shared" si="15"/>
        <v>24660000000</v>
      </c>
      <c r="V21" s="2">
        <f t="shared" si="15"/>
        <v>24660000000</v>
      </c>
      <c r="W21" s="2">
        <f t="shared" si="15"/>
        <v>24660000000</v>
      </c>
      <c r="X21" s="2">
        <f t="shared" si="15"/>
        <v>24660000000</v>
      </c>
      <c r="Y21" s="2">
        <f t="shared" si="15"/>
        <v>24660000000</v>
      </c>
      <c r="Z21" s="2">
        <f t="shared" si="15"/>
        <v>24660000000</v>
      </c>
    </row>
    <row r="23" spans="1:26" ht="15.5" x14ac:dyDescent="0.35">
      <c r="B23" t="s">
        <v>39</v>
      </c>
      <c r="C23" t="s">
        <v>40</v>
      </c>
      <c r="D23" s="3">
        <f>IFERROR(D5/D6*100,"")</f>
        <v>5.1273785038011024</v>
      </c>
      <c r="H23" s="3">
        <f t="shared" ref="H23:Z23" si="16">IFERROR(H5/H6*100,"")</f>
        <v>20.50951401520441</v>
      </c>
      <c r="I23" s="3">
        <f t="shared" si="16"/>
        <v>20.903460218538942</v>
      </c>
      <c r="J23" s="3">
        <f t="shared" si="16"/>
        <v>20.732844926446216</v>
      </c>
      <c r="K23" s="3">
        <f t="shared" si="16"/>
        <v>19.598445507785673</v>
      </c>
      <c r="L23" s="3">
        <f t="shared" si="16"/>
        <v>16.915271295894772</v>
      </c>
      <c r="M23" s="3">
        <f t="shared" si="16"/>
        <v>15.700982683004879</v>
      </c>
      <c r="N23" s="3">
        <f t="shared" si="16"/>
        <v>16.792540869065277</v>
      </c>
      <c r="O23" s="3">
        <f t="shared" si="16"/>
        <v>17.877118868800103</v>
      </c>
      <c r="P23" s="3">
        <f t="shared" si="16"/>
        <v>17.638106452778825</v>
      </c>
      <c r="Q23" s="3">
        <f t="shared" si="16"/>
        <v>18.313010485237733</v>
      </c>
      <c r="R23" s="3">
        <f t="shared" si="16"/>
        <v>24.289817388109604</v>
      </c>
      <c r="S23" s="3">
        <f t="shared" si="16"/>
        <v>19.719418501144883</v>
      </c>
      <c r="T23" s="3">
        <f t="shared" si="16"/>
        <v>21.687917332584778</v>
      </c>
      <c r="U23" s="3">
        <f t="shared" si="16"/>
        <v>20.326057889077813</v>
      </c>
      <c r="V23" s="3">
        <f t="shared" si="16"/>
        <v>22.933048096589264</v>
      </c>
      <c r="W23" s="3">
        <f t="shared" si="16"/>
        <v>25.630268296780145</v>
      </c>
      <c r="X23" s="3">
        <f t="shared" si="16"/>
        <v>0</v>
      </c>
      <c r="Y23" s="3">
        <f t="shared" si="16"/>
        <v>0</v>
      </c>
      <c r="Z23" s="3">
        <f t="shared" si="16"/>
        <v>0</v>
      </c>
    </row>
    <row r="24" spans="1:26" ht="15.5" x14ac:dyDescent="0.35">
      <c r="C24" t="s">
        <v>41</v>
      </c>
      <c r="D24" s="4">
        <f>IFERROR(_xlfn.RRI(5,I23,D23),"")</f>
        <v>-0.24502001352092218</v>
      </c>
      <c r="H24" s="4">
        <f t="shared" ref="H24:Z24" si="17">IFERROR(_xlfn.RRI(5,M23,H23),"")</f>
        <v>5.4886433353558362E-2</v>
      </c>
      <c r="I24" s="4">
        <f t="shared" si="17"/>
        <v>4.4769182268443286E-2</v>
      </c>
      <c r="J24" s="4">
        <f t="shared" si="17"/>
        <v>3.0083129158308353E-2</v>
      </c>
      <c r="K24" s="4">
        <f t="shared" si="17"/>
        <v>2.1301414171449373E-2</v>
      </c>
      <c r="L24" s="4">
        <f t="shared" si="17"/>
        <v>-1.5753577947816289E-2</v>
      </c>
      <c r="M24" s="4">
        <f t="shared" si="17"/>
        <v>-8.3567427140664563E-2</v>
      </c>
      <c r="N24" s="4">
        <f t="shared" si="17"/>
        <v>-3.1623008804540054E-2</v>
      </c>
      <c r="O24" s="4">
        <f t="shared" si="17"/>
        <v>-3.7909479097179788E-2</v>
      </c>
      <c r="P24" s="4">
        <f t="shared" si="17"/>
        <v>-2.7969795459618751E-2</v>
      </c>
      <c r="Q24" s="4">
        <f t="shared" si="17"/>
        <v>-4.3996257477470935E-2</v>
      </c>
      <c r="R24" s="4">
        <f t="shared" si="17"/>
        <v>-1.0685852935104267E-2</v>
      </c>
      <c r="S24" s="4" t="str">
        <f t="shared" si="17"/>
        <v/>
      </c>
      <c r="T24" s="4" t="str">
        <f t="shared" si="17"/>
        <v/>
      </c>
      <c r="U24" s="4" t="str">
        <f t="shared" si="17"/>
        <v/>
      </c>
      <c r="V24" s="4" t="str">
        <f t="shared" si="17"/>
        <v/>
      </c>
      <c r="W24" s="4" t="str">
        <f t="shared" si="17"/>
        <v/>
      </c>
      <c r="X24" s="4">
        <f t="shared" si="17"/>
        <v>0</v>
      </c>
      <c r="Y24" s="4">
        <f t="shared" si="17"/>
        <v>0</v>
      </c>
      <c r="Z24" s="4">
        <f t="shared" si="17"/>
        <v>0</v>
      </c>
    </row>
    <row r="25" spans="1:26" ht="15.5" x14ac:dyDescent="0.35">
      <c r="A25" t="s">
        <v>42</v>
      </c>
      <c r="C25" t="s">
        <v>43</v>
      </c>
      <c r="D25" s="3">
        <f>IFERROR(INDEX(D51:D500,MATCH($A$25,$C$51:$C$500,0)),"")</f>
        <v>119.12</v>
      </c>
      <c r="H25" s="3">
        <f>IFERROR(INDEX(D25:G25,COUNT(D25:G25)),"")</f>
        <v>119.12</v>
      </c>
      <c r="I25" s="3">
        <f t="shared" ref="I25:Z25" si="18">IFERROR(INDEX(I51:I500,MATCH($C$25,$C$51:$C$500,0)),"")</f>
        <v>466.74</v>
      </c>
      <c r="J25" s="3">
        <f t="shared" si="18"/>
        <v>444.83</v>
      </c>
      <c r="K25" s="3">
        <f t="shared" si="18"/>
        <v>394.56</v>
      </c>
      <c r="L25" s="3">
        <f t="shared" si="18"/>
        <v>330.45</v>
      </c>
      <c r="M25" s="3">
        <f t="shared" si="18"/>
        <v>254.9</v>
      </c>
      <c r="N25" s="3">
        <f t="shared" si="18"/>
        <v>1100.43</v>
      </c>
      <c r="O25" s="3">
        <f t="shared" si="18"/>
        <v>1158.5899999999999</v>
      </c>
      <c r="P25" s="3">
        <f t="shared" si="18"/>
        <v>1048.68</v>
      </c>
      <c r="Q25" s="3">
        <f t="shared" si="18"/>
        <v>945.45</v>
      </c>
      <c r="R25" s="3">
        <f t="shared" si="18"/>
        <v>835.76</v>
      </c>
      <c r="S25" s="3">
        <f t="shared" si="18"/>
        <v>730.83</v>
      </c>
      <c r="T25" s="3">
        <f t="shared" si="18"/>
        <v>668.66</v>
      </c>
      <c r="U25" s="3">
        <f t="shared" si="18"/>
        <v>578.13</v>
      </c>
      <c r="V25" s="3">
        <f t="shared" si="18"/>
        <v>475.43</v>
      </c>
      <c r="W25" s="3">
        <f t="shared" si="18"/>
        <v>438.83</v>
      </c>
      <c r="X25" s="3">
        <f t="shared" si="18"/>
        <v>343.92</v>
      </c>
      <c r="Y25" s="3">
        <f t="shared" si="18"/>
        <v>276.10000000000002</v>
      </c>
      <c r="Z25" s="3">
        <f t="shared" si="18"/>
        <v>234.28</v>
      </c>
    </row>
    <row r="26" spans="1:26" ht="15.5" x14ac:dyDescent="0.35">
      <c r="C26" t="s">
        <v>44</v>
      </c>
      <c r="D26" s="4">
        <f>IFERROR(_xlfn.RRI(5,I25,D25),"")</f>
        <v>-0.23900477350496907</v>
      </c>
      <c r="H26" s="4">
        <f t="shared" ref="H26:Z26" si="19">IFERROR(_xlfn.RRI(5,M25,H25),"")</f>
        <v>-0.14113882689187363</v>
      </c>
      <c r="I26" s="4">
        <f t="shared" si="19"/>
        <v>-0.15763072062784456</v>
      </c>
      <c r="J26" s="4">
        <f t="shared" si="19"/>
        <v>-0.17424186917253293</v>
      </c>
      <c r="K26" s="4">
        <f t="shared" si="19"/>
        <v>-0.17757933579648222</v>
      </c>
      <c r="L26" s="4">
        <f t="shared" si="19"/>
        <v>-0.18961118546434086</v>
      </c>
      <c r="M26" s="4">
        <f t="shared" si="19"/>
        <v>-0.21139840567853407</v>
      </c>
      <c r="N26" s="4">
        <f t="shared" si="19"/>
        <v>8.5298520645671783E-2</v>
      </c>
      <c r="O26" s="4">
        <f t="shared" si="19"/>
        <v>0.11620737161975714</v>
      </c>
      <c r="P26" s="4">
        <f t="shared" si="19"/>
        <v>0.12648002690370386</v>
      </c>
      <c r="Q26" s="4">
        <f t="shared" si="19"/>
        <v>0.14738824632639824</v>
      </c>
      <c r="R26" s="4">
        <f t="shared" si="19"/>
        <v>0.13751479600763616</v>
      </c>
      <c r="S26" s="4">
        <f t="shared" si="19"/>
        <v>0.16271101521949816</v>
      </c>
      <c r="T26" s="4">
        <f t="shared" si="19"/>
        <v>0.19351474143788328</v>
      </c>
      <c r="U26" s="4">
        <f t="shared" si="19"/>
        <v>0.19800342081962463</v>
      </c>
      <c r="V26" s="4" t="str">
        <f t="shared" si="19"/>
        <v/>
      </c>
      <c r="W26" s="4" t="str">
        <f t="shared" si="19"/>
        <v/>
      </c>
      <c r="X26" s="4" t="str">
        <f t="shared" si="19"/>
        <v/>
      </c>
      <c r="Y26" s="4" t="str">
        <f t="shared" si="19"/>
        <v/>
      </c>
      <c r="Z26" s="4" t="str">
        <f t="shared" si="19"/>
        <v/>
      </c>
    </row>
    <row r="27" spans="1:26" ht="15.5" x14ac:dyDescent="0.35">
      <c r="C27" t="s">
        <v>45</v>
      </c>
      <c r="D27" s="3">
        <f>IFERROR(D4/D21,"")</f>
        <v>240.53876541207009</v>
      </c>
      <c r="H27" s="3">
        <f t="shared" ref="H27:Z27" si="20">IFERROR(H4/H21,"")</f>
        <v>962.15506164828037</v>
      </c>
      <c r="I27" s="3">
        <f t="shared" si="20"/>
        <v>961.81666937053865</v>
      </c>
      <c r="J27" s="3">
        <f t="shared" si="20"/>
        <v>914.79861291369241</v>
      </c>
      <c r="K27" s="3">
        <f t="shared" si="20"/>
        <v>844.01760220635947</v>
      </c>
      <c r="L27" s="3">
        <f t="shared" si="20"/>
        <v>720.51262167423749</v>
      </c>
      <c r="M27" s="3">
        <f t="shared" si="20"/>
        <v>651.4163935756003</v>
      </c>
      <c r="N27" s="3">
        <f t="shared" si="20"/>
        <v>3185.8478102189779</v>
      </c>
      <c r="O27" s="3">
        <f t="shared" si="20"/>
        <v>3140.5586374695863</v>
      </c>
      <c r="P27" s="3">
        <f t="shared" si="20"/>
        <v>2788.4484995944849</v>
      </c>
      <c r="Q27" s="3">
        <f t="shared" si="20"/>
        <v>2601.6195863746957</v>
      </c>
      <c r="R27" s="3">
        <f t="shared" si="20"/>
        <v>2426.2111516626114</v>
      </c>
      <c r="S27" s="3">
        <f t="shared" si="20"/>
        <v>2333.6866991078668</v>
      </c>
      <c r="T27" s="3">
        <f t="shared" si="20"/>
        <v>2104.3683292781834</v>
      </c>
      <c r="U27" s="3">
        <f t="shared" si="20"/>
        <v>1666.9459448499595</v>
      </c>
      <c r="V27" s="3">
        <f t="shared" si="20"/>
        <v>1417.0770478507704</v>
      </c>
      <c r="W27" s="3">
        <f t="shared" si="20"/>
        <v>996.22270884022714</v>
      </c>
      <c r="X27" s="3">
        <f t="shared" si="20"/>
        <v>837.81841038118409</v>
      </c>
      <c r="Y27" s="3">
        <f t="shared" si="20"/>
        <v>929.89266017842658</v>
      </c>
      <c r="Z27" s="3">
        <f t="shared" si="20"/>
        <v>782.69184914841844</v>
      </c>
    </row>
    <row r="28" spans="1:26" ht="15.5" x14ac:dyDescent="0.35">
      <c r="C28" t="s">
        <v>46</v>
      </c>
      <c r="D28" s="4">
        <f>IFERROR(_xlfn.RRI(5,I27,D27),"")</f>
        <v>-0.24208839737206544</v>
      </c>
      <c r="H28" s="4">
        <f t="shared" ref="H28:Z28" si="21">IFERROR(_xlfn.RRI(5,M27,H27),"")</f>
        <v>8.112840273657107E-2</v>
      </c>
      <c r="I28" s="4">
        <f t="shared" si="21"/>
        <v>-0.21300231504963796</v>
      </c>
      <c r="J28" s="4">
        <f t="shared" si="21"/>
        <v>-0.21861743212375573</v>
      </c>
      <c r="K28" s="4">
        <f t="shared" si="21"/>
        <v>-0.21259571249566389</v>
      </c>
      <c r="L28" s="4">
        <f t="shared" si="21"/>
        <v>-0.22646572852567404</v>
      </c>
      <c r="M28" s="4">
        <f t="shared" si="21"/>
        <v>-0.23124842623839581</v>
      </c>
      <c r="N28" s="4">
        <f t="shared" si="21"/>
        <v>6.4232444708387071E-2</v>
      </c>
      <c r="O28" s="4">
        <f t="shared" si="21"/>
        <v>8.3370560502662006E-2</v>
      </c>
      <c r="P28" s="4">
        <f t="shared" si="21"/>
        <v>0.1083788300169013</v>
      </c>
      <c r="Q28" s="4">
        <f t="shared" si="21"/>
        <v>0.12919791070876285</v>
      </c>
      <c r="R28" s="4">
        <f t="shared" si="21"/>
        <v>0.19485287107790938</v>
      </c>
      <c r="S28" s="4">
        <f t="shared" si="21"/>
        <v>0.22737855323039424</v>
      </c>
      <c r="T28" s="4">
        <f t="shared" si="21"/>
        <v>0.17743729393428898</v>
      </c>
      <c r="U28" s="4">
        <f t="shared" si="21"/>
        <v>0.16323146490187002</v>
      </c>
      <c r="V28" s="4" t="str">
        <f t="shared" si="21"/>
        <v/>
      </c>
      <c r="W28" s="4" t="str">
        <f t="shared" si="21"/>
        <v/>
      </c>
      <c r="X28" s="4" t="str">
        <f t="shared" si="21"/>
        <v/>
      </c>
      <c r="Y28" s="4" t="str">
        <f t="shared" si="21"/>
        <v/>
      </c>
      <c r="Z28" s="4" t="str">
        <f t="shared" si="21"/>
        <v/>
      </c>
    </row>
    <row r="32" spans="1:26" ht="15.5" x14ac:dyDescent="0.35">
      <c r="A32" t="s">
        <v>47</v>
      </c>
      <c r="B32" t="s">
        <v>48</v>
      </c>
      <c r="C32" t="s">
        <v>49</v>
      </c>
      <c r="D32" s="3">
        <f>IFERROR(INDEX(D51:D500,MATCH($A$32,$C$51:$C$500,0)),"")</f>
        <v>2102.0700000000002</v>
      </c>
      <c r="H32" s="3">
        <f>IFERROR(INDEX(D32:G32,COUNT(D32:G32)),"")</f>
        <v>2102.0700000000002</v>
      </c>
      <c r="I32" s="3">
        <f t="shared" ref="I32:Z32" si="22">IFERROR(INDEX(I51:I500,MATCH($C$32,$C$51:$C$500,0)),"")</f>
        <v>2283.2399999999998</v>
      </c>
      <c r="J32" s="3">
        <f t="shared" si="22"/>
        <v>2130.5300000000002</v>
      </c>
      <c r="K32" s="3">
        <f t="shared" si="22"/>
        <v>1965.98</v>
      </c>
      <c r="L32" s="3">
        <f t="shared" si="22"/>
        <v>1792.89</v>
      </c>
      <c r="M32" s="3">
        <f t="shared" si="22"/>
        <v>1644.39</v>
      </c>
      <c r="N32" s="3">
        <f t="shared" si="22"/>
        <v>7487.17</v>
      </c>
      <c r="O32" s="3">
        <f t="shared" si="22"/>
        <v>7059.13</v>
      </c>
      <c r="P32" s="3">
        <f t="shared" si="22"/>
        <v>6151.27</v>
      </c>
      <c r="Q32" s="3">
        <f t="shared" si="22"/>
        <v>5325.63</v>
      </c>
      <c r="R32" s="3">
        <f t="shared" si="22"/>
        <v>4560.25</v>
      </c>
      <c r="S32" s="3">
        <f t="shared" si="22"/>
        <v>3624.8</v>
      </c>
      <c r="T32" s="3">
        <f t="shared" si="22"/>
        <v>3150.8</v>
      </c>
      <c r="U32" s="3">
        <f t="shared" si="22"/>
        <v>2590.37</v>
      </c>
      <c r="V32" s="3">
        <f t="shared" si="22"/>
        <v>2102.08</v>
      </c>
      <c r="W32" s="3">
        <f t="shared" si="22"/>
        <v>1703.63</v>
      </c>
      <c r="X32" s="3">
        <f t="shared" si="22"/>
        <v>1383.4</v>
      </c>
      <c r="Y32" s="3">
        <f t="shared" si="22"/>
        <v>1129.8599999999999</v>
      </c>
      <c r="Z32" s="3">
        <f t="shared" si="22"/>
        <v>944.2</v>
      </c>
    </row>
    <row r="33" spans="1:26" ht="15.5" x14ac:dyDescent="0.35">
      <c r="A33" t="s">
        <v>50</v>
      </c>
      <c r="B33" t="s">
        <v>51</v>
      </c>
      <c r="C33" t="s">
        <v>52</v>
      </c>
      <c r="D33" s="3">
        <f>IFERROR(INDEX(D51:D500,MATCH($A$33,$C$51:$C$500,0)),"")</f>
        <v>3.07</v>
      </c>
      <c r="H33" s="3">
        <f>IFERROR(INDEX(D33:G33,COUNT(D33:G33)),"")</f>
        <v>3.07</v>
      </c>
      <c r="I33" s="3">
        <f t="shared" ref="I33:Z33" si="23">IFERROR(INDEX(I51:I500,MATCH($C$33,$C$51:$C$500,0)),"")</f>
        <v>3.54</v>
      </c>
      <c r="J33" s="3">
        <f t="shared" si="23"/>
        <v>4.54</v>
      </c>
      <c r="K33" s="3">
        <f t="shared" si="23"/>
        <v>4.78</v>
      </c>
      <c r="L33" s="3">
        <f t="shared" si="23"/>
        <v>4.7699999999999996</v>
      </c>
      <c r="M33" s="3">
        <f t="shared" si="23"/>
        <v>4.4400000000000004</v>
      </c>
      <c r="N33" s="3">
        <f t="shared" si="23"/>
        <v>4.5199999999999996</v>
      </c>
      <c r="O33" s="3">
        <f t="shared" si="23"/>
        <v>4.74</v>
      </c>
      <c r="P33" s="3">
        <f t="shared" si="23"/>
        <v>4.2300000000000004</v>
      </c>
      <c r="Q33" s="3">
        <f t="shared" si="23"/>
        <v>4.1100000000000003</v>
      </c>
      <c r="R33" s="3">
        <f t="shared" si="23"/>
        <v>3.4</v>
      </c>
      <c r="S33" s="3">
        <f t="shared" si="23"/>
        <v>3.67</v>
      </c>
      <c r="T33" s="3">
        <f t="shared" si="23"/>
        <v>4.17</v>
      </c>
      <c r="U33" s="3">
        <f t="shared" si="23"/>
        <v>3.71</v>
      </c>
      <c r="V33" s="3">
        <f t="shared" si="23"/>
        <v>4.33</v>
      </c>
      <c r="W33" s="3">
        <f t="shared" si="23"/>
        <v>4.7</v>
      </c>
      <c r="X33" s="3">
        <f t="shared" si="23"/>
        <v>4.63</v>
      </c>
      <c r="Y33" s="3">
        <f t="shared" si="23"/>
        <v>4.29</v>
      </c>
      <c r="Z33" s="3">
        <f t="shared" si="23"/>
        <v>3.44</v>
      </c>
    </row>
    <row r="34" spans="1:26" ht="15.5" x14ac:dyDescent="0.35">
      <c r="A34" t="s">
        <v>53</v>
      </c>
      <c r="B34" t="s">
        <v>54</v>
      </c>
      <c r="C34" t="s">
        <v>55</v>
      </c>
      <c r="D34" s="3">
        <f>IFERROR(INDEX(D51:D500,MATCH($A$34,$C$51:$C$500,0)),"")</f>
        <v>54.15</v>
      </c>
      <c r="H34" s="3">
        <f>IFERROR(INDEX(D34:G34,COUNT(D34:G34)),"")</f>
        <v>54.15</v>
      </c>
      <c r="I34" s="3">
        <f t="shared" ref="I34:Z34" si="24">IFERROR(INDEX(I51:I500,MATCH($C$34,$C$51:$C$500,0)),"")</f>
        <v>17.3</v>
      </c>
      <c r="J34" s="3">
        <f t="shared" si="24"/>
        <v>21.75</v>
      </c>
      <c r="K34" s="3">
        <f t="shared" si="24"/>
        <v>23.82</v>
      </c>
      <c r="L34" s="3">
        <f t="shared" si="24"/>
        <v>25.87</v>
      </c>
      <c r="M34" s="3">
        <f t="shared" si="24"/>
        <v>28.64</v>
      </c>
      <c r="N34" s="3">
        <f t="shared" si="24"/>
        <v>30.76</v>
      </c>
      <c r="O34" s="3">
        <f t="shared" si="24"/>
        <v>28.85</v>
      </c>
      <c r="P34" s="3">
        <f t="shared" si="24"/>
        <v>24.79</v>
      </c>
      <c r="Q34" s="3">
        <f t="shared" si="24"/>
        <v>23.16</v>
      </c>
      <c r="R34" s="3">
        <f t="shared" si="24"/>
        <v>18.55</v>
      </c>
      <c r="S34" s="3">
        <f t="shared" si="24"/>
        <v>18.2</v>
      </c>
      <c r="T34" s="3">
        <f t="shared" si="24"/>
        <v>19.63</v>
      </c>
      <c r="U34" s="3">
        <f t="shared" si="24"/>
        <v>16.61</v>
      </c>
      <c r="V34" s="3">
        <f t="shared" si="24"/>
        <v>19.14</v>
      </c>
      <c r="W34" s="3">
        <f t="shared" si="24"/>
        <v>18.23</v>
      </c>
      <c r="X34" s="3">
        <f t="shared" si="24"/>
        <v>18.61</v>
      </c>
      <c r="Y34" s="3">
        <f t="shared" si="24"/>
        <v>17.57</v>
      </c>
      <c r="Z34" s="3">
        <f t="shared" si="24"/>
        <v>13.87</v>
      </c>
    </row>
    <row r="35" spans="1:26" ht="15.5" x14ac:dyDescent="0.35">
      <c r="A35" t="s">
        <v>56</v>
      </c>
      <c r="B35" t="s">
        <v>57</v>
      </c>
      <c r="C35" t="s">
        <v>58</v>
      </c>
      <c r="D35" s="3">
        <f>IFERROR(INDEX(D51:D500,MATCH($A$35,$C$51:$C$500,0)),"")</f>
        <v>26.81</v>
      </c>
      <c r="H35" s="3">
        <f>IFERROR(INDEX(D35:G35,COUNT(D35:G35)),"")</f>
        <v>26.81</v>
      </c>
      <c r="I35" s="3">
        <f t="shared" ref="I35:Z35" si="25">IFERROR(INDEX(I51:I500,MATCH($C$35,$C$51:$C$500,0)),"")</f>
        <v>8.4</v>
      </c>
      <c r="J35" s="3">
        <f t="shared" si="25"/>
        <v>10.58</v>
      </c>
      <c r="K35" s="3">
        <f t="shared" si="25"/>
        <v>11.14</v>
      </c>
      <c r="L35" s="3">
        <f t="shared" si="25"/>
        <v>11.87</v>
      </c>
      <c r="M35" s="3">
        <f t="shared" si="25"/>
        <v>11.21</v>
      </c>
      <c r="N35" s="3">
        <f t="shared" si="25"/>
        <v>10.62</v>
      </c>
      <c r="O35" s="3">
        <f t="shared" si="25"/>
        <v>10.64</v>
      </c>
      <c r="P35" s="3">
        <f t="shared" si="25"/>
        <v>9.32</v>
      </c>
      <c r="Q35" s="3">
        <f t="shared" si="25"/>
        <v>8.42</v>
      </c>
      <c r="R35" s="3">
        <f t="shared" si="25"/>
        <v>6.39</v>
      </c>
      <c r="S35" s="3">
        <f t="shared" si="25"/>
        <v>5.7</v>
      </c>
      <c r="T35" s="3">
        <f t="shared" si="25"/>
        <v>6.24</v>
      </c>
      <c r="U35" s="3">
        <f t="shared" si="25"/>
        <v>5.76</v>
      </c>
      <c r="V35" s="3">
        <f t="shared" si="25"/>
        <v>6.42</v>
      </c>
      <c r="W35" s="3">
        <f t="shared" si="25"/>
        <v>8.0299999999999994</v>
      </c>
      <c r="X35" s="3">
        <f t="shared" si="25"/>
        <v>7.64</v>
      </c>
      <c r="Y35" s="3">
        <f t="shared" si="25"/>
        <v>5.21</v>
      </c>
      <c r="Z35" s="3">
        <f t="shared" si="25"/>
        <v>4.1500000000000004</v>
      </c>
    </row>
    <row r="36" spans="1:26" ht="15.5" x14ac:dyDescent="0.35">
      <c r="B36" t="s">
        <v>59</v>
      </c>
      <c r="C36" t="s">
        <v>60</v>
      </c>
      <c r="D36" s="4">
        <f>IFERROR(INDEX(D51:D500,MATCH($C$36,$C$51:$C$500,0)),"")</f>
        <v>0</v>
      </c>
      <c r="H36" s="4">
        <f t="shared" ref="H36:Z36" si="26">IFERROR(INDEX(H51:H500,MATCH($C$36,$C$51:$C$500,0)),"")</f>
        <v>0.63170000000000004</v>
      </c>
      <c r="I36" s="4">
        <f t="shared" si="26"/>
        <v>0.71989999999999998</v>
      </c>
      <c r="J36" s="4">
        <f t="shared" si="26"/>
        <v>0.6744</v>
      </c>
      <c r="K36" s="4">
        <f t="shared" si="26"/>
        <v>0.68430000000000002</v>
      </c>
      <c r="L36" s="4">
        <f t="shared" si="26"/>
        <v>0.62039999999999995</v>
      </c>
      <c r="M36" s="4">
        <f t="shared" si="26"/>
        <v>0.56889999999999996</v>
      </c>
      <c r="N36" s="4">
        <f t="shared" si="26"/>
        <v>0.48159999999999997</v>
      </c>
      <c r="O36" s="4">
        <f t="shared" si="26"/>
        <v>0.47899999999999998</v>
      </c>
      <c r="P36" s="4">
        <f t="shared" si="26"/>
        <v>0.32420000000000004</v>
      </c>
      <c r="Q36" s="4">
        <f t="shared" si="26"/>
        <v>0.2697</v>
      </c>
      <c r="R36" s="4">
        <f t="shared" si="26"/>
        <v>0</v>
      </c>
      <c r="S36" s="4">
        <f t="shared" si="26"/>
        <v>0</v>
      </c>
      <c r="T36" s="4">
        <f t="shared" si="26"/>
        <v>0</v>
      </c>
      <c r="U36" s="4">
        <f t="shared" si="26"/>
        <v>0</v>
      </c>
      <c r="V36" s="4">
        <f t="shared" si="26"/>
        <v>0</v>
      </c>
      <c r="W36" s="4">
        <f t="shared" si="26"/>
        <v>0</v>
      </c>
      <c r="X36" s="4">
        <f t="shared" si="26"/>
        <v>0</v>
      </c>
      <c r="Y36" s="4">
        <f t="shared" si="26"/>
        <v>0</v>
      </c>
      <c r="Z36" s="4">
        <f t="shared" si="26"/>
        <v>0</v>
      </c>
    </row>
    <row r="37" spans="1:26" ht="15.5" x14ac:dyDescent="0.35">
      <c r="B37" t="s">
        <v>61</v>
      </c>
      <c r="C37" t="s">
        <v>62</v>
      </c>
      <c r="D37" s="3">
        <f>IFERROR(INDEX(D51:D500,MATCH($C$37,$C$51:$C$500,0)),"")</f>
        <v>0</v>
      </c>
      <c r="H37" s="3">
        <f t="shared" ref="H37:Z37" si="27">IFERROR(INDEX(H51:H500,MATCH($C$37,$C$51:$C$500,0)),"")</f>
        <v>301</v>
      </c>
      <c r="I37" s="3">
        <f t="shared" si="27"/>
        <v>336</v>
      </c>
      <c r="J37" s="3">
        <f t="shared" si="27"/>
        <v>300</v>
      </c>
      <c r="K37" s="3">
        <f t="shared" si="27"/>
        <v>270</v>
      </c>
      <c r="L37" s="3">
        <f t="shared" si="27"/>
        <v>205</v>
      </c>
      <c r="M37" s="3">
        <f t="shared" si="27"/>
        <v>145</v>
      </c>
      <c r="N37" s="3">
        <f t="shared" si="27"/>
        <v>106</v>
      </c>
      <c r="O37" s="3">
        <f t="shared" si="27"/>
        <v>111</v>
      </c>
      <c r="P37" s="3">
        <f t="shared" si="27"/>
        <v>68</v>
      </c>
      <c r="Q37" s="3">
        <f t="shared" si="27"/>
        <v>51</v>
      </c>
      <c r="R37" s="3">
        <f t="shared" si="27"/>
        <v>0</v>
      </c>
      <c r="S37" s="3">
        <f t="shared" si="27"/>
        <v>0</v>
      </c>
      <c r="T37" s="3">
        <f t="shared" si="27"/>
        <v>0</v>
      </c>
      <c r="U37" s="3">
        <f t="shared" si="27"/>
        <v>0</v>
      </c>
      <c r="V37" s="3">
        <f t="shared" si="27"/>
        <v>0</v>
      </c>
      <c r="W37" s="3">
        <f t="shared" si="27"/>
        <v>0</v>
      </c>
      <c r="X37" s="3">
        <f t="shared" si="27"/>
        <v>0</v>
      </c>
      <c r="Y37" s="3">
        <f t="shared" si="27"/>
        <v>0</v>
      </c>
      <c r="Z37" s="3">
        <f t="shared" si="27"/>
        <v>0</v>
      </c>
    </row>
    <row r="50" spans="2:26" ht="15.5" x14ac:dyDescent="0.35">
      <c r="D50" t="s">
        <v>63</v>
      </c>
      <c r="E50" t="s">
        <v>64</v>
      </c>
      <c r="F50" t="s">
        <v>65</v>
      </c>
      <c r="G50" t="s">
        <v>66</v>
      </c>
      <c r="H50" t="s">
        <v>67</v>
      </c>
      <c r="I50" t="s">
        <v>30</v>
      </c>
      <c r="J50" t="s">
        <v>31</v>
      </c>
      <c r="K50" t="s">
        <v>32</v>
      </c>
      <c r="L50" t="s">
        <v>33</v>
      </c>
      <c r="M50" t="s">
        <v>34</v>
      </c>
      <c r="N50" t="s">
        <v>311</v>
      </c>
      <c r="O50" t="s">
        <v>312</v>
      </c>
      <c r="P50" t="s">
        <v>313</v>
      </c>
      <c r="Q50" t="s">
        <v>314</v>
      </c>
      <c r="R50" t="s">
        <v>315</v>
      </c>
      <c r="S50" t="s">
        <v>316</v>
      </c>
      <c r="T50" t="s">
        <v>317</v>
      </c>
      <c r="U50" t="s">
        <v>318</v>
      </c>
      <c r="V50" t="s">
        <v>319</v>
      </c>
      <c r="W50" t="s">
        <v>320</v>
      </c>
      <c r="X50" t="s">
        <v>321</v>
      </c>
      <c r="Y50" t="s">
        <v>322</v>
      </c>
      <c r="Z50" t="s">
        <v>323</v>
      </c>
    </row>
    <row r="51" spans="2:26" ht="15.5" x14ac:dyDescent="0.35">
      <c r="B51" t="s">
        <v>68</v>
      </c>
      <c r="C51" t="s">
        <v>4</v>
      </c>
      <c r="D51" s="5">
        <v>29653619000000</v>
      </c>
      <c r="E51" s="5">
        <v>27144302000000</v>
      </c>
      <c r="F51" s="5">
        <v>30875157000000</v>
      </c>
      <c r="G51" s="5">
        <v>31527769000000</v>
      </c>
      <c r="I51" s="5">
        <v>118572759000000</v>
      </c>
      <c r="J51" s="5">
        <v>112776373000000</v>
      </c>
      <c r="K51" s="5">
        <v>104050490000000</v>
      </c>
      <c r="L51" s="5">
        <v>88824796000000</v>
      </c>
      <c r="M51" s="5">
        <v>80306613000000</v>
      </c>
      <c r="N51" s="5">
        <v>78563007000000</v>
      </c>
      <c r="O51" s="5">
        <v>77446176000000</v>
      </c>
      <c r="P51" s="5">
        <v>68763140000000</v>
      </c>
      <c r="Q51" s="5">
        <v>64155939000000</v>
      </c>
      <c r="R51" s="5">
        <v>59830367000000</v>
      </c>
      <c r="S51" s="5">
        <v>57548714000000</v>
      </c>
      <c r="T51" s="5">
        <v>51893723000000</v>
      </c>
      <c r="U51" s="5">
        <v>41106887000000</v>
      </c>
      <c r="V51" s="5">
        <v>34945120000000</v>
      </c>
      <c r="W51" s="5">
        <v>24566852000000</v>
      </c>
      <c r="X51" s="5">
        <v>20660602000000</v>
      </c>
      <c r="Y51" s="5">
        <v>22931153000000</v>
      </c>
      <c r="Z51" s="5">
        <v>19301181000000</v>
      </c>
    </row>
    <row r="52" spans="2:26" ht="15.5" x14ac:dyDescent="0.35">
      <c r="C52" t="s">
        <v>436</v>
      </c>
      <c r="D52" s="5">
        <v>24592248000000</v>
      </c>
      <c r="E52" s="5">
        <v>24927184000000</v>
      </c>
      <c r="F52" s="5">
        <v>24671504000000</v>
      </c>
      <c r="G52" s="5">
        <v>24947246000000</v>
      </c>
      <c r="I52" s="5">
        <v>98912652000000</v>
      </c>
      <c r="J52" s="5">
        <v>94796454000000</v>
      </c>
      <c r="K52" s="5">
        <v>87397774000000</v>
      </c>
      <c r="L52" s="5">
        <v>72241191000000</v>
      </c>
      <c r="M52" s="5">
        <v>65626976000000</v>
      </c>
      <c r="N52" s="5">
        <v>65403161000000</v>
      </c>
      <c r="O52" s="5">
        <v>63837795000000</v>
      </c>
      <c r="P52" s="5">
        <v>56766800000000</v>
      </c>
      <c r="Q52" s="5">
        <v>53767939000000</v>
      </c>
      <c r="R52" s="5">
        <v>50425826000000</v>
      </c>
      <c r="S52" s="5">
        <v>47081728000000</v>
      </c>
      <c r="T52" s="5">
        <v>43771256000000</v>
      </c>
      <c r="U52" s="5">
        <v>34277149000000</v>
      </c>
      <c r="V52" s="5">
        <v>28885290000000</v>
      </c>
      <c r="W52" s="5">
        <v>24566852000000</v>
      </c>
      <c r="X52" s="5">
        <v>20660602000000</v>
      </c>
      <c r="Y52" s="5">
        <v>22079920000000</v>
      </c>
      <c r="Z52" s="5">
        <v>18616168000000</v>
      </c>
    </row>
    <row r="53" spans="2:26" ht="15.5" x14ac:dyDescent="0.35">
      <c r="C53" t="s">
        <v>437</v>
      </c>
      <c r="D53" s="5">
        <v>5061371000000</v>
      </c>
      <c r="E53" s="5">
        <v>5271755000000</v>
      </c>
      <c r="F53" s="5">
        <v>4966308000000</v>
      </c>
      <c r="G53" s="5">
        <v>4763231000000</v>
      </c>
      <c r="I53" s="5">
        <v>19660107000000</v>
      </c>
      <c r="J53" s="5">
        <v>17979919000000</v>
      </c>
      <c r="K53" s="5">
        <v>16652716000000</v>
      </c>
      <c r="L53" s="5">
        <v>16583605000000</v>
      </c>
      <c r="M53" s="5">
        <v>14679637000000</v>
      </c>
      <c r="N53" s="5">
        <v>13159846000000</v>
      </c>
      <c r="O53" s="5">
        <v>13608381000000</v>
      </c>
      <c r="P53" s="5">
        <v>11996340000000</v>
      </c>
      <c r="Q53" s="5">
        <v>10388000000000</v>
      </c>
      <c r="R53" s="5">
        <v>9404541000000</v>
      </c>
      <c r="S53" s="5">
        <v>8359919000000</v>
      </c>
      <c r="T53" s="5">
        <v>7289551000000</v>
      </c>
      <c r="U53" s="5">
        <v>6309874000000</v>
      </c>
      <c r="V53" s="5">
        <v>5455094000000</v>
      </c>
      <c r="Y53" s="5">
        <v>851233000000</v>
      </c>
      <c r="Z53" s="5">
        <v>685013000000</v>
      </c>
    </row>
    <row r="54" spans="2:26" ht="15.5" x14ac:dyDescent="0.35">
      <c r="C54" t="s">
        <v>73</v>
      </c>
      <c r="D54" s="5">
        <v>-1386183000000</v>
      </c>
      <c r="E54" s="5">
        <v>-418678000000</v>
      </c>
      <c r="F54" s="5">
        <v>759701000000</v>
      </c>
      <c r="G54" s="5">
        <v>638982000000</v>
      </c>
      <c r="I54" s="5">
        <v>1345964000000</v>
      </c>
      <c r="J54" s="5">
        <v>-344954000000</v>
      </c>
      <c r="K54" s="5">
        <v>-1106209000000</v>
      </c>
      <c r="L54" s="5">
        <v>-3322718000000</v>
      </c>
      <c r="M54" s="5">
        <v>426906000000</v>
      </c>
      <c r="N54" s="5">
        <v>3889342000000</v>
      </c>
      <c r="O54" s="5">
        <v>2568287000000</v>
      </c>
      <c r="P54" s="5">
        <v>910375000000</v>
      </c>
      <c r="Q54" s="5">
        <v>754591000000</v>
      </c>
      <c r="R54" s="5">
        <v>6772464000000</v>
      </c>
      <c r="S54" s="5">
        <v>-344263000000</v>
      </c>
      <c r="T54" s="5">
        <v>413501000000</v>
      </c>
      <c r="U54" s="5">
        <v>-1251927000000</v>
      </c>
      <c r="V54" s="5">
        <v>180063000000</v>
      </c>
      <c r="W54" s="5">
        <v>-47589000000</v>
      </c>
    </row>
    <row r="55" spans="2:26" ht="15.5" x14ac:dyDescent="0.35">
      <c r="C55" t="s">
        <v>69</v>
      </c>
      <c r="D55" s="5">
        <v>-3483815000000</v>
      </c>
      <c r="E55" s="5">
        <v>-3325378000000</v>
      </c>
      <c r="F55" s="5">
        <v>-3310104000000</v>
      </c>
      <c r="G55" s="5">
        <v>-3480855000000</v>
      </c>
      <c r="I55" s="5">
        <v>-13364495000000</v>
      </c>
      <c r="J55" s="5">
        <v>-12532290000000</v>
      </c>
      <c r="K55" s="5">
        <v>-12268952000000</v>
      </c>
      <c r="L55" s="5">
        <v>-8251682000000</v>
      </c>
      <c r="M55" s="5">
        <v>-9491401000000</v>
      </c>
      <c r="N55" s="5">
        <v>-11241891000000</v>
      </c>
      <c r="O55" s="5">
        <v>-13360347000000</v>
      </c>
      <c r="P55" s="5">
        <v>-11476255000000</v>
      </c>
      <c r="Q55" s="5">
        <v>-11943627000000</v>
      </c>
      <c r="R55" s="5">
        <v>-10350578000000</v>
      </c>
      <c r="S55" s="5">
        <v>-11217072000000</v>
      </c>
      <c r="T55" s="5">
        <v>-11749080000000</v>
      </c>
      <c r="U55" s="5">
        <v>-7852020000000</v>
      </c>
      <c r="V55" s="5">
        <v>-7648937000000</v>
      </c>
      <c r="W55" s="5">
        <v>-7730157000000</v>
      </c>
      <c r="X55" s="5">
        <v>-7723774000000</v>
      </c>
      <c r="Y55" s="5">
        <v>-8031428000000</v>
      </c>
      <c r="Z55" s="5">
        <v>-6944833000000</v>
      </c>
    </row>
    <row r="56" spans="2:26" ht="15.5" x14ac:dyDescent="0.35">
      <c r="C56" t="s">
        <v>438</v>
      </c>
      <c r="D56" s="5">
        <v>-3483815000000</v>
      </c>
      <c r="E56" s="5">
        <v>-3325378000000</v>
      </c>
      <c r="F56" s="5">
        <v>-3310104000000</v>
      </c>
      <c r="G56" s="5">
        <v>-3480855000000</v>
      </c>
      <c r="I56" s="5">
        <v>-13364495000000</v>
      </c>
      <c r="J56" s="5">
        <v>-12532290000000</v>
      </c>
      <c r="K56" s="5">
        <v>-12268952000000</v>
      </c>
      <c r="L56" s="5">
        <v>-8251682000000</v>
      </c>
      <c r="M56" s="5">
        <v>-9491401000000</v>
      </c>
      <c r="N56" s="5">
        <v>-11241891000000</v>
      </c>
      <c r="O56" s="5">
        <v>-13360347000000</v>
      </c>
      <c r="P56" s="5">
        <v>-11476255000000</v>
      </c>
      <c r="Q56" s="5">
        <v>-11941465000000</v>
      </c>
      <c r="R56" s="5">
        <v>-10346736000000</v>
      </c>
      <c r="S56" s="5">
        <v>-11212932000000</v>
      </c>
      <c r="T56" s="5">
        <v>-11744562000000</v>
      </c>
      <c r="U56" s="5">
        <v>-7852009000000</v>
      </c>
      <c r="V56" s="5">
        <v>-7647167000000</v>
      </c>
      <c r="W56" s="5">
        <v>-7730157000000</v>
      </c>
      <c r="X56" s="5">
        <v>-7723774000000</v>
      </c>
      <c r="Y56" s="5">
        <v>-8029233000000</v>
      </c>
      <c r="Z56" s="5">
        <v>-6940345000000</v>
      </c>
    </row>
    <row r="57" spans="2:26" ht="15.5" x14ac:dyDescent="0.35">
      <c r="C57" t="s">
        <v>439</v>
      </c>
      <c r="Q57" s="5">
        <v>-2162000000</v>
      </c>
      <c r="R57" s="5">
        <v>-3842000000</v>
      </c>
      <c r="S57" s="5">
        <v>-4140000000</v>
      </c>
      <c r="T57" s="5">
        <v>-4518000000</v>
      </c>
      <c r="U57" s="5">
        <v>-11000000</v>
      </c>
      <c r="V57" s="5">
        <v>-1770000000</v>
      </c>
      <c r="Y57" s="5">
        <v>-2195000000</v>
      </c>
      <c r="Z57" s="5">
        <v>-4488000000</v>
      </c>
    </row>
    <row r="58" spans="2:26" ht="15.5" x14ac:dyDescent="0.35">
      <c r="C58" t="s">
        <v>440</v>
      </c>
      <c r="D58" s="5">
        <v>-3483815000000</v>
      </c>
      <c r="E58" s="5">
        <v>-3325378000000</v>
      </c>
      <c r="F58" s="5">
        <v>-3310104000000</v>
      </c>
      <c r="G58" s="5">
        <v>-3480855000000</v>
      </c>
      <c r="I58" s="5">
        <v>-13364495000000</v>
      </c>
      <c r="J58" s="5">
        <v>-12532290000000</v>
      </c>
      <c r="K58" s="5">
        <v>-12268952000000</v>
      </c>
      <c r="L58" s="5">
        <v>-8251682000000</v>
      </c>
      <c r="M58" s="5">
        <v>-9491401000000</v>
      </c>
      <c r="N58" s="5">
        <v>-11241891000000</v>
      </c>
      <c r="O58" s="5">
        <v>-13360347000000</v>
      </c>
      <c r="P58" s="5">
        <v>-11476255000000</v>
      </c>
      <c r="Q58" s="5">
        <v>-11943627000000</v>
      </c>
      <c r="R58" s="5">
        <v>-10350578000000</v>
      </c>
      <c r="S58" s="5">
        <v>-11217072000000</v>
      </c>
      <c r="T58" s="5">
        <v>-11749080000000</v>
      </c>
      <c r="U58" s="5">
        <v>-7852020000000</v>
      </c>
      <c r="V58" s="5">
        <v>-7648937000000</v>
      </c>
      <c r="W58" s="5">
        <v>-7730157000000</v>
      </c>
      <c r="X58" s="5">
        <v>-7723774000000</v>
      </c>
      <c r="Y58" s="5">
        <v>-8031428000000</v>
      </c>
      <c r="Z58" s="5">
        <v>-6944833000000</v>
      </c>
    </row>
    <row r="59" spans="2:26" ht="15.5" x14ac:dyDescent="0.35">
      <c r="C59" t="s">
        <v>70</v>
      </c>
      <c r="D59" s="5">
        <v>26169804000000</v>
      </c>
      <c r="E59" s="5">
        <v>23818924000000</v>
      </c>
      <c r="F59" s="5">
        <v>27565053000000</v>
      </c>
      <c r="G59" s="5">
        <v>28046914000000</v>
      </c>
      <c r="I59" s="5">
        <v>105208264000000</v>
      </c>
      <c r="J59" s="5">
        <v>100244083000000</v>
      </c>
      <c r="K59" s="5">
        <v>91781538000000</v>
      </c>
      <c r="L59" s="5">
        <v>80573114000000</v>
      </c>
      <c r="M59" s="5">
        <v>70815212000000</v>
      </c>
      <c r="N59" s="5">
        <v>67321116000000</v>
      </c>
      <c r="O59" s="5">
        <v>64085829000000</v>
      </c>
      <c r="P59" s="5">
        <v>57286885000000</v>
      </c>
      <c r="Q59" s="5">
        <v>52212312000000</v>
      </c>
      <c r="R59" s="5">
        <v>49479789000000</v>
      </c>
      <c r="S59" s="5">
        <v>46331642000000</v>
      </c>
      <c r="T59" s="5">
        <v>40144643000000</v>
      </c>
      <c r="U59" s="5">
        <v>33254867000000</v>
      </c>
      <c r="V59" s="5">
        <v>27296183000000</v>
      </c>
      <c r="W59" s="5">
        <v>16836695000000</v>
      </c>
      <c r="X59" s="5">
        <v>12936828000000</v>
      </c>
      <c r="Y59" s="5">
        <v>14899725000000</v>
      </c>
      <c r="Z59" s="5">
        <v>12356348000000</v>
      </c>
    </row>
    <row r="60" spans="2:26" ht="15.5" x14ac:dyDescent="0.35">
      <c r="C60" t="s">
        <v>71</v>
      </c>
      <c r="D60" s="5">
        <v>-8092732000000</v>
      </c>
      <c r="E60" s="5">
        <v>-6324992000000</v>
      </c>
      <c r="F60" s="5">
        <v>-9591768000000</v>
      </c>
      <c r="G60" s="5">
        <v>-9708917000000</v>
      </c>
      <c r="I60" s="5">
        <v>-33947388000000</v>
      </c>
      <c r="J60" s="5">
        <v>-32026233000000</v>
      </c>
      <c r="K60" s="5">
        <v>-31601781000000</v>
      </c>
      <c r="L60" s="5">
        <v>-30106081000000</v>
      </c>
      <c r="M60" s="5">
        <v>-31974038000000</v>
      </c>
      <c r="N60" s="5">
        <v>-33752609000000</v>
      </c>
      <c r="O60" s="5">
        <v>-27796831000000</v>
      </c>
      <c r="P60" s="5">
        <v>-24580821000000</v>
      </c>
      <c r="Q60" s="5">
        <v>-23053569000000</v>
      </c>
      <c r="R60" s="5">
        <v>-23640589000000</v>
      </c>
      <c r="S60" s="5">
        <v>-23674528000000</v>
      </c>
      <c r="T60" s="5">
        <v>-19639870000000</v>
      </c>
      <c r="U60" s="5">
        <v>-16176200000000</v>
      </c>
      <c r="V60" s="5">
        <v>-13040615000000</v>
      </c>
      <c r="W60" s="5">
        <v>-3539920000000</v>
      </c>
      <c r="X60" s="5">
        <v>-2536638000000</v>
      </c>
      <c r="Y60" s="5">
        <v>-6380842000000</v>
      </c>
      <c r="Z60" s="5">
        <v>-4688441000000</v>
      </c>
    </row>
    <row r="61" spans="2:26" ht="15.5" x14ac:dyDescent="0.35">
      <c r="C61" t="s">
        <v>441</v>
      </c>
    </row>
    <row r="62" spans="2:26" ht="15.5" x14ac:dyDescent="0.35">
      <c r="C62" t="s">
        <v>442</v>
      </c>
      <c r="W62" s="5">
        <v>4556046000000</v>
      </c>
      <c r="X62" s="5">
        <v>3999326000000</v>
      </c>
      <c r="Y62" s="5">
        <v>2761088000000</v>
      </c>
      <c r="Z62" s="5">
        <v>2538897000000</v>
      </c>
    </row>
    <row r="63" spans="2:26" ht="15.5" x14ac:dyDescent="0.35">
      <c r="C63" t="s">
        <v>443</v>
      </c>
      <c r="Y63" s="5">
        <v>600443000000</v>
      </c>
      <c r="Z63" s="5">
        <v>686996000000</v>
      </c>
    </row>
    <row r="64" spans="2:26" ht="15.5" x14ac:dyDescent="0.35">
      <c r="C64" t="s">
        <v>444</v>
      </c>
      <c r="W64" s="5">
        <v>515111000000</v>
      </c>
      <c r="X64" s="5">
        <v>110837000000</v>
      </c>
    </row>
    <row r="65" spans="3:26" ht="15.5" x14ac:dyDescent="0.35">
      <c r="C65" t="s">
        <v>445</v>
      </c>
      <c r="W65" s="5">
        <v>74023000000</v>
      </c>
    </row>
    <row r="66" spans="3:26" ht="15.5" x14ac:dyDescent="0.35">
      <c r="C66" t="s">
        <v>446</v>
      </c>
      <c r="W66" s="5">
        <v>558034000000</v>
      </c>
      <c r="X66" s="5">
        <v>1749503000000</v>
      </c>
      <c r="Y66" s="5">
        <v>-16497000000</v>
      </c>
      <c r="Z66" s="5">
        <v>1441000000</v>
      </c>
    </row>
    <row r="67" spans="3:26" ht="15.5" x14ac:dyDescent="0.35">
      <c r="C67" t="s">
        <v>447</v>
      </c>
      <c r="D67" s="5">
        <v>1048919000000</v>
      </c>
      <c r="E67" s="5">
        <v>4007144000000</v>
      </c>
      <c r="G67" s="5">
        <v>-912191000000</v>
      </c>
      <c r="I67" s="5">
        <v>4007144000000</v>
      </c>
      <c r="Y67" s="5">
        <v>45933000000</v>
      </c>
      <c r="Z67" s="5">
        <v>-15870000000</v>
      </c>
    </row>
    <row r="68" spans="3:26" ht="15.5" x14ac:dyDescent="0.35">
      <c r="C68" t="s">
        <v>448</v>
      </c>
      <c r="D68" s="5">
        <v>2263814000000</v>
      </c>
      <c r="E68" s="5">
        <v>4168784000000</v>
      </c>
      <c r="F68" s="5">
        <v>1597622000000</v>
      </c>
      <c r="G68" s="5">
        <v>942759000000</v>
      </c>
      <c r="I68" s="5">
        <v>8656364000000</v>
      </c>
      <c r="J68" s="5">
        <v>8062458000000</v>
      </c>
      <c r="K68" s="5">
        <v>8163835000000</v>
      </c>
      <c r="L68" s="5">
        <v>6903203000000</v>
      </c>
      <c r="M68" s="5">
        <v>7658157000000</v>
      </c>
      <c r="N68" s="5">
        <v>7844182000000</v>
      </c>
      <c r="O68" s="5">
        <v>7536720000000</v>
      </c>
      <c r="P68" s="5">
        <v>5747335000000</v>
      </c>
      <c r="Q68" s="5">
        <v>4769371000000</v>
      </c>
      <c r="R68" s="5">
        <v>4299631000000</v>
      </c>
      <c r="S68" s="5">
        <v>1544530000000</v>
      </c>
      <c r="T68" s="5">
        <v>906027000000</v>
      </c>
      <c r="U68" s="5">
        <v>470940000000</v>
      </c>
      <c r="V68" s="5">
        <v>317773000000</v>
      </c>
      <c r="W68" s="5">
        <v>7213378000000</v>
      </c>
      <c r="X68" s="5">
        <v>7359500000000</v>
      </c>
      <c r="Y68" s="5">
        <v>4331845000000</v>
      </c>
      <c r="Z68" s="5">
        <v>3862182000000</v>
      </c>
    </row>
    <row r="69" spans="3:26" ht="15.5" x14ac:dyDescent="0.35">
      <c r="C69" t="s">
        <v>449</v>
      </c>
    </row>
    <row r="70" spans="3:26" ht="15.5" x14ac:dyDescent="0.35">
      <c r="C70" t="s">
        <v>450</v>
      </c>
      <c r="D70" s="5">
        <v>-1232275000000</v>
      </c>
      <c r="E70" s="5">
        <v>-488321000000</v>
      </c>
      <c r="F70" s="5">
        <v>-1511267000000</v>
      </c>
      <c r="G70" s="5">
        <v>-980427000000</v>
      </c>
      <c r="I70" s="5">
        <v>-4011047000000</v>
      </c>
      <c r="J70" s="5">
        <v>-2034453000000</v>
      </c>
      <c r="K70" s="5">
        <v>-2263049000000</v>
      </c>
      <c r="L70" s="5">
        <v>-4526619000000</v>
      </c>
      <c r="M70" s="5">
        <v>-9323995000000</v>
      </c>
      <c r="N70" s="5">
        <v>-11628076000000</v>
      </c>
      <c r="O70" s="5">
        <v>-4591343000000</v>
      </c>
      <c r="P70" s="5">
        <v>-2676602000000</v>
      </c>
      <c r="Q70" s="5">
        <v>-2632619000000</v>
      </c>
      <c r="R70" s="5">
        <v>-4561274000000</v>
      </c>
      <c r="S70" s="5">
        <v>-3504995000000</v>
      </c>
      <c r="T70" s="5">
        <v>-2239578000000</v>
      </c>
      <c r="U70" s="5">
        <v>-2015678000000</v>
      </c>
      <c r="V70" s="5">
        <v>-498670000000</v>
      </c>
      <c r="W70" s="5">
        <v>-559209000000</v>
      </c>
      <c r="X70" s="5">
        <v>333066000000</v>
      </c>
      <c r="Y70" s="5">
        <v>-2242533000000</v>
      </c>
      <c r="Z70" s="5">
        <v>-1754149000000</v>
      </c>
    </row>
    <row r="71" spans="3:26" ht="15.5" x14ac:dyDescent="0.35">
      <c r="C71" t="s">
        <v>451</v>
      </c>
      <c r="D71" s="5">
        <v>-4733979000000</v>
      </c>
      <c r="E71" s="5">
        <v>-4308002000000</v>
      </c>
      <c r="F71" s="5">
        <v>-4398614000000</v>
      </c>
      <c r="G71" s="5">
        <v>-4193565000000</v>
      </c>
      <c r="I71" s="5">
        <v>-17780770000000</v>
      </c>
      <c r="J71" s="5">
        <v>-17444242000000</v>
      </c>
      <c r="K71" s="5">
        <v>-16197811000000</v>
      </c>
      <c r="L71" s="5">
        <v>-13651458000000</v>
      </c>
      <c r="M71" s="5">
        <v>-13487127000000</v>
      </c>
      <c r="N71" s="5">
        <v>-13349775000000</v>
      </c>
      <c r="O71" s="5">
        <v>-13337264000000</v>
      </c>
      <c r="P71" s="5">
        <v>-12143106000000</v>
      </c>
      <c r="Q71" s="5">
        <v>-11335155000000</v>
      </c>
      <c r="R71" s="5">
        <v>-10629884000000</v>
      </c>
      <c r="S71" s="5">
        <v>-9728509000000</v>
      </c>
      <c r="T71" s="5">
        <v>-8670906000000</v>
      </c>
      <c r="U71" s="5">
        <v>-6864614000000</v>
      </c>
      <c r="V71" s="5">
        <v>-6154966000000</v>
      </c>
      <c r="W71" s="5">
        <v>-5204359000000</v>
      </c>
      <c r="X71" s="5">
        <v>-4544611000000</v>
      </c>
      <c r="Y71" s="5">
        <v>-4186617000000</v>
      </c>
      <c r="Z71" s="5">
        <v>-3283965000000</v>
      </c>
    </row>
    <row r="72" spans="3:26" ht="15.5" x14ac:dyDescent="0.35">
      <c r="C72" t="s">
        <v>452</v>
      </c>
      <c r="D72" s="5">
        <v>-3434164000000</v>
      </c>
      <c r="E72" s="5">
        <v>-4906445000000</v>
      </c>
      <c r="F72" s="5">
        <v>-4090682000000</v>
      </c>
      <c r="G72" s="5">
        <v>-4467380000000</v>
      </c>
      <c r="I72" s="5">
        <v>-16780115000000</v>
      </c>
      <c r="J72" s="5">
        <v>-16874142000000</v>
      </c>
      <c r="K72" s="5">
        <v>-17496896000000</v>
      </c>
      <c r="L72" s="5">
        <v>-15390436000000</v>
      </c>
      <c r="M72" s="5">
        <v>-13494571000000</v>
      </c>
      <c r="N72" s="5">
        <v>-12978260000000</v>
      </c>
      <c r="O72" s="5">
        <v>-14115175000000</v>
      </c>
      <c r="P72" s="5">
        <v>-13026592000000</v>
      </c>
      <c r="Q72" s="5">
        <v>-12305650000000</v>
      </c>
      <c r="R72" s="5">
        <v>-11228563000000</v>
      </c>
      <c r="S72" s="5">
        <v>-10874770000000</v>
      </c>
      <c r="T72" s="5">
        <v>-8931363000000</v>
      </c>
      <c r="U72" s="5">
        <v>-7386260000000</v>
      </c>
      <c r="V72" s="5">
        <v>-6450204000000</v>
      </c>
      <c r="W72" s="5">
        <v>-5468543000000</v>
      </c>
      <c r="X72" s="5">
        <v>-4795466000000</v>
      </c>
      <c r="Y72" s="5">
        <v>-4066016000000</v>
      </c>
      <c r="Z72" s="5">
        <v>-3332376000000</v>
      </c>
    </row>
    <row r="73" spans="3:26" ht="15.5" x14ac:dyDescent="0.35">
      <c r="C73" t="s">
        <v>453</v>
      </c>
      <c r="X73" s="5">
        <v>-13809000000</v>
      </c>
    </row>
    <row r="74" spans="3:26" ht="15.5" x14ac:dyDescent="0.35">
      <c r="C74" t="s">
        <v>454</v>
      </c>
      <c r="D74" s="5">
        <v>-10356546000000</v>
      </c>
      <c r="E74" s="5">
        <v>-10493776000000</v>
      </c>
      <c r="F74" s="5">
        <v>-11189390000000</v>
      </c>
      <c r="G74" s="5">
        <v>-10651676000000</v>
      </c>
      <c r="I74" s="5">
        <v>-42603752000000</v>
      </c>
      <c r="J74" s="5">
        <v>-40088691000000</v>
      </c>
      <c r="K74" s="5">
        <v>-39765616000000</v>
      </c>
      <c r="L74" s="5">
        <v>-37009284000000</v>
      </c>
      <c r="M74" s="5">
        <v>-39632195000000</v>
      </c>
      <c r="N74" s="5">
        <v>-41596791000000</v>
      </c>
      <c r="O74" s="5">
        <v>-35333551000000</v>
      </c>
      <c r="P74" s="5">
        <v>-30328156000000</v>
      </c>
      <c r="Q74" s="5">
        <v>-27822940000000</v>
      </c>
      <c r="R74" s="5">
        <v>-27940220000000</v>
      </c>
      <c r="S74" s="5">
        <v>-25219058000000</v>
      </c>
      <c r="T74" s="5">
        <v>-20545897000000</v>
      </c>
      <c r="U74" s="5">
        <v>-16647140000000</v>
      </c>
      <c r="V74" s="5">
        <v>-13358388000000</v>
      </c>
      <c r="W74" s="5">
        <v>-10753298000000</v>
      </c>
      <c r="X74" s="5">
        <v>-9896138000000</v>
      </c>
      <c r="Y74" s="5">
        <v>-10712687000000</v>
      </c>
      <c r="Z74" s="5">
        <v>-8550623000000</v>
      </c>
    </row>
    <row r="75" spans="3:26" ht="15.5" x14ac:dyDescent="0.35">
      <c r="C75" t="s">
        <v>74</v>
      </c>
      <c r="D75" s="5">
        <v>18077072000000</v>
      </c>
      <c r="E75" s="5">
        <v>17493932000000</v>
      </c>
      <c r="F75" s="5">
        <v>17973285000000</v>
      </c>
      <c r="G75" s="5">
        <v>18337997000000</v>
      </c>
      <c r="I75" s="5">
        <v>71260876000000</v>
      </c>
      <c r="J75" s="5">
        <v>68217850000000</v>
      </c>
      <c r="K75" s="5">
        <v>60179757000000</v>
      </c>
      <c r="L75" s="5">
        <v>50467033000000</v>
      </c>
      <c r="M75" s="5">
        <v>38841174000000</v>
      </c>
      <c r="N75" s="5">
        <v>33568507000000</v>
      </c>
      <c r="O75" s="5">
        <v>36288998000000</v>
      </c>
      <c r="P75" s="5">
        <v>32706064000000</v>
      </c>
      <c r="Q75" s="5">
        <v>29158743000000</v>
      </c>
      <c r="R75" s="5">
        <v>25839200000000</v>
      </c>
      <c r="S75" s="5">
        <v>22657114000000</v>
      </c>
      <c r="T75" s="5">
        <v>20504773000000</v>
      </c>
      <c r="U75" s="5">
        <v>17078667000000</v>
      </c>
      <c r="V75" s="5">
        <v>14255568000000</v>
      </c>
      <c r="W75" s="5">
        <v>13296775000000</v>
      </c>
      <c r="X75" s="5">
        <v>10400190000000</v>
      </c>
      <c r="Y75" s="5">
        <v>8518883000000</v>
      </c>
      <c r="Z75" s="5">
        <v>7667907000000</v>
      </c>
    </row>
    <row r="76" spans="3:26" ht="15.5" x14ac:dyDescent="0.35">
      <c r="C76" t="s">
        <v>75</v>
      </c>
      <c r="T76" s="5">
        <v>236348000000</v>
      </c>
      <c r="U76" s="5">
        <v>736939000000</v>
      </c>
      <c r="V76" s="5">
        <v>430478000000</v>
      </c>
      <c r="W76" s="5">
        <v>321983000000</v>
      </c>
      <c r="X76" s="5">
        <v>253079000000</v>
      </c>
      <c r="Y76" s="5">
        <v>426209000000</v>
      </c>
      <c r="Z76" s="5">
        <v>52136000000</v>
      </c>
    </row>
    <row r="77" spans="3:26" ht="15.5" x14ac:dyDescent="0.35">
      <c r="C77" t="s">
        <v>455</v>
      </c>
      <c r="W77" s="5">
        <v>7007000000</v>
      </c>
      <c r="X77" s="5">
        <v>9673000000</v>
      </c>
      <c r="Y77" s="5">
        <v>9756000000</v>
      </c>
      <c r="Z77" s="5">
        <v>5974000000</v>
      </c>
    </row>
    <row r="78" spans="3:26" ht="15.5" x14ac:dyDescent="0.35">
      <c r="C78" t="s">
        <v>326</v>
      </c>
      <c r="W78" s="5">
        <v>85559000000</v>
      </c>
      <c r="X78" s="5">
        <v>64088000000</v>
      </c>
    </row>
    <row r="79" spans="3:26" ht="15.5" x14ac:dyDescent="0.35">
      <c r="C79" t="s">
        <v>78</v>
      </c>
      <c r="T79" s="5">
        <v>236348000000</v>
      </c>
      <c r="U79" s="5">
        <v>736939000000</v>
      </c>
      <c r="V79" s="5">
        <v>430478000000</v>
      </c>
      <c r="W79" s="5">
        <v>321983000000</v>
      </c>
      <c r="X79" s="5">
        <v>253079000000</v>
      </c>
      <c r="Y79" s="5">
        <v>426209000000</v>
      </c>
      <c r="Z79" s="5">
        <v>52136000000</v>
      </c>
    </row>
    <row r="80" spans="3:26" ht="15.5" x14ac:dyDescent="0.35">
      <c r="C80" t="s">
        <v>27</v>
      </c>
      <c r="D80" s="5">
        <v>18077072000000</v>
      </c>
      <c r="E80" s="5">
        <v>17493932000000</v>
      </c>
      <c r="F80" s="5">
        <v>17973285000000</v>
      </c>
      <c r="G80" s="5">
        <v>18337997000000</v>
      </c>
      <c r="I80" s="5">
        <v>71260876000000</v>
      </c>
      <c r="J80" s="5">
        <v>68217850000000</v>
      </c>
      <c r="K80" s="5">
        <v>60179757000000</v>
      </c>
      <c r="L80" s="5">
        <v>50467033000000</v>
      </c>
      <c r="M80" s="5">
        <v>38841174000000</v>
      </c>
      <c r="N80" s="5">
        <v>33568507000000</v>
      </c>
      <c r="O80" s="5">
        <v>36288998000000</v>
      </c>
      <c r="P80" s="5">
        <v>32706064000000</v>
      </c>
      <c r="Q80" s="5">
        <v>29158743000000</v>
      </c>
      <c r="R80" s="5">
        <v>25839200000000</v>
      </c>
      <c r="S80" s="5">
        <v>22657114000000</v>
      </c>
      <c r="T80" s="5">
        <v>20741121000000</v>
      </c>
      <c r="U80" s="5">
        <v>17815606000000</v>
      </c>
      <c r="V80" s="5">
        <v>14686046000000</v>
      </c>
      <c r="W80" s="5">
        <v>13618758000000</v>
      </c>
      <c r="X80" s="5">
        <v>10653269000000</v>
      </c>
      <c r="Y80" s="5">
        <v>8945092000000</v>
      </c>
      <c r="Z80" s="5">
        <v>7720043000000</v>
      </c>
    </row>
    <row r="81" spans="2:26" ht="15.5" x14ac:dyDescent="0.35">
      <c r="C81" t="s">
        <v>26</v>
      </c>
      <c r="D81" s="5">
        <v>-3387273000000</v>
      </c>
      <c r="E81" s="5">
        <v>-3344302000000</v>
      </c>
      <c r="F81" s="5">
        <v>-3582791000000</v>
      </c>
      <c r="G81" s="5">
        <v>-3462018000000</v>
      </c>
      <c r="I81" s="5">
        <v>-13697783000000</v>
      </c>
      <c r="J81" s="5">
        <v>-13366576000000</v>
      </c>
      <c r="K81" s="5">
        <v>-11521662000000</v>
      </c>
      <c r="L81" s="5">
        <v>-9711461000000</v>
      </c>
      <c r="M81" s="5">
        <v>-7401015000000</v>
      </c>
      <c r="N81" s="5">
        <v>-6421398000000</v>
      </c>
      <c r="O81" s="5">
        <v>-7719024000000</v>
      </c>
      <c r="P81" s="5">
        <v>-6854404000000</v>
      </c>
      <c r="Q81" s="5">
        <v>-5837593000000</v>
      </c>
      <c r="R81" s="5">
        <v>-5206919000000</v>
      </c>
      <c r="S81" s="5">
        <v>-4621346000000</v>
      </c>
      <c r="T81" s="5">
        <v>-4229451000000</v>
      </c>
      <c r="U81" s="5">
        <v>-3559367000000</v>
      </c>
      <c r="V81" s="5">
        <v>-2967586000000</v>
      </c>
      <c r="W81" s="5">
        <v>-2800960000000</v>
      </c>
      <c r="X81" s="5">
        <v>-2173996000000</v>
      </c>
      <c r="Y81" s="5">
        <v>-2137850000000</v>
      </c>
      <c r="Z81" s="5">
        <v>-1943904000000</v>
      </c>
    </row>
    <row r="82" spans="2:26" ht="15.5" x14ac:dyDescent="0.35">
      <c r="C82" t="s">
        <v>456</v>
      </c>
      <c r="Q82" s="5">
        <v>-5762403000000</v>
      </c>
      <c r="R82" s="5">
        <v>-5593753000000</v>
      </c>
      <c r="S82" s="5">
        <v>-5021659000000</v>
      </c>
      <c r="T82" s="5">
        <v>-4548974000000</v>
      </c>
      <c r="U82" s="5">
        <v>-3973278000000</v>
      </c>
      <c r="V82" s="5">
        <v>-3141702000000</v>
      </c>
      <c r="W82" s="5">
        <v>-2628781000000</v>
      </c>
      <c r="X82" s="5">
        <v>-2255244000000</v>
      </c>
      <c r="Y82" s="5">
        <v>-2539930000000</v>
      </c>
      <c r="Z82" s="5">
        <v>-2342474000000</v>
      </c>
    </row>
    <row r="83" spans="2:26" ht="15.5" x14ac:dyDescent="0.35">
      <c r="C83" t="s">
        <v>457</v>
      </c>
      <c r="Q83" s="5">
        <v>-75190000000</v>
      </c>
      <c r="R83" s="5">
        <v>386834000000</v>
      </c>
      <c r="S83" s="5">
        <v>400313000000</v>
      </c>
      <c r="T83" s="5">
        <v>319523000000</v>
      </c>
      <c r="U83" s="5">
        <v>413911000000</v>
      </c>
      <c r="V83" s="5">
        <v>174116000000</v>
      </c>
      <c r="W83" s="5">
        <v>-172179000000</v>
      </c>
      <c r="X83" s="5">
        <v>81248000000</v>
      </c>
      <c r="Y83" s="5">
        <v>402080000000</v>
      </c>
      <c r="Z83" s="5">
        <v>398570000000</v>
      </c>
    </row>
    <row r="84" spans="2:26" ht="15.5" x14ac:dyDescent="0.35">
      <c r="C84" t="s">
        <v>458</v>
      </c>
      <c r="D84" s="5">
        <v>-3387273000000</v>
      </c>
      <c r="E84" s="5">
        <v>-3344302000000</v>
      </c>
      <c r="F84" s="5">
        <v>-3582791000000</v>
      </c>
      <c r="G84" s="5">
        <v>-3462018000000</v>
      </c>
      <c r="I84" s="5">
        <v>-13697783000000</v>
      </c>
      <c r="J84" s="5">
        <v>-13366576000000</v>
      </c>
      <c r="K84" s="5">
        <v>-11521662000000</v>
      </c>
      <c r="L84" s="5">
        <v>-9711461000000</v>
      </c>
      <c r="M84" s="5">
        <v>-7401015000000</v>
      </c>
      <c r="N84" s="5">
        <v>-6421398000000</v>
      </c>
      <c r="O84" s="5">
        <v>-7719024000000</v>
      </c>
      <c r="P84" s="5">
        <v>-6854404000000</v>
      </c>
      <c r="Q84" s="5">
        <v>-5837593000000</v>
      </c>
      <c r="R84" s="5">
        <v>-5206919000000</v>
      </c>
      <c r="S84" s="5">
        <v>-4621346000000</v>
      </c>
      <c r="T84" s="5">
        <v>-4229451000000</v>
      </c>
      <c r="U84" s="5">
        <v>-3559367000000</v>
      </c>
      <c r="V84" s="5">
        <v>-2967586000000</v>
      </c>
      <c r="W84" s="5">
        <v>-2800960000000</v>
      </c>
      <c r="X84" s="5">
        <v>-2173996000000</v>
      </c>
      <c r="Y84" s="5">
        <v>-2137850000000</v>
      </c>
      <c r="Z84" s="5">
        <v>-1943904000000</v>
      </c>
    </row>
    <row r="85" spans="2:26" ht="15.5" x14ac:dyDescent="0.35">
      <c r="C85" t="s">
        <v>79</v>
      </c>
      <c r="D85" s="5">
        <v>14689799000000</v>
      </c>
      <c r="E85" s="5">
        <v>14149630000000</v>
      </c>
      <c r="F85" s="5">
        <v>14390494000000</v>
      </c>
      <c r="G85" s="5">
        <v>14875979000000</v>
      </c>
      <c r="I85" s="5">
        <v>57563093000000</v>
      </c>
      <c r="J85" s="5">
        <v>54851274000000</v>
      </c>
      <c r="K85" s="5">
        <v>48658095000000</v>
      </c>
      <c r="L85" s="5">
        <v>40755572000000</v>
      </c>
      <c r="M85" s="5">
        <v>31440159000000</v>
      </c>
      <c r="N85" s="5">
        <v>27147109000000</v>
      </c>
      <c r="O85" s="5">
        <v>28569974000000</v>
      </c>
      <c r="P85" s="5">
        <v>25851660000000</v>
      </c>
      <c r="Q85" s="5">
        <v>23321150000000</v>
      </c>
      <c r="R85" s="5">
        <v>20632281000000</v>
      </c>
      <c r="S85" s="5">
        <v>18035768000000</v>
      </c>
      <c r="T85" s="5">
        <v>16511670000000</v>
      </c>
      <c r="U85" s="5">
        <v>14256239000000</v>
      </c>
      <c r="V85" s="5">
        <v>11718460000000</v>
      </c>
      <c r="W85" s="5">
        <v>10817798000000</v>
      </c>
      <c r="X85" s="5">
        <v>8479273000000</v>
      </c>
      <c r="Y85" s="5">
        <v>6807242000000</v>
      </c>
      <c r="Z85" s="5">
        <v>5776139000000</v>
      </c>
    </row>
    <row r="86" spans="2:26" ht="15.5" x14ac:dyDescent="0.35">
      <c r="C86" t="s">
        <v>80</v>
      </c>
      <c r="D86" s="5">
        <v>-1386183000000</v>
      </c>
      <c r="E86" s="5">
        <v>-418678000000</v>
      </c>
      <c r="F86" s="5">
        <v>759701000000</v>
      </c>
      <c r="G86" s="5">
        <v>638982000000</v>
      </c>
      <c r="I86" s="5">
        <v>1345964000000</v>
      </c>
      <c r="J86" s="5">
        <v>-344954000000</v>
      </c>
      <c r="K86" s="5">
        <v>-1106209000000</v>
      </c>
      <c r="L86" s="5">
        <v>-3322718000000</v>
      </c>
      <c r="M86" s="5">
        <v>426906000000</v>
      </c>
      <c r="N86" s="5">
        <v>3889342000000</v>
      </c>
      <c r="O86" s="5">
        <v>2568287000000</v>
      </c>
      <c r="P86" s="5">
        <v>910375000000</v>
      </c>
      <c r="Q86" s="5">
        <v>754591000000</v>
      </c>
      <c r="R86" s="5">
        <v>6772464000000</v>
      </c>
      <c r="S86" s="5">
        <v>-344263000000</v>
      </c>
      <c r="T86" s="5">
        <v>413501000000</v>
      </c>
      <c r="U86" s="5">
        <v>-1251927000000</v>
      </c>
      <c r="V86" s="5">
        <v>180063000000</v>
      </c>
      <c r="W86" s="5">
        <v>-47589000000</v>
      </c>
    </row>
    <row r="87" spans="2:26" ht="15.5" x14ac:dyDescent="0.35">
      <c r="C87" t="s">
        <v>329</v>
      </c>
      <c r="D87" s="5">
        <v>-1386183000000</v>
      </c>
      <c r="E87" s="5">
        <v>-418678000000</v>
      </c>
      <c r="F87" s="5">
        <v>759701000000</v>
      </c>
      <c r="G87" s="5">
        <v>638982000000</v>
      </c>
      <c r="I87" s="5">
        <v>1345964000000</v>
      </c>
      <c r="J87" s="5">
        <v>-344954000000</v>
      </c>
      <c r="K87" s="5">
        <v>-1106209000000</v>
      </c>
      <c r="L87" s="5">
        <v>-3322718000000</v>
      </c>
      <c r="M87" s="5">
        <v>426906000000</v>
      </c>
      <c r="N87" s="5">
        <v>3889342000000</v>
      </c>
      <c r="O87" s="5">
        <v>2568287000000</v>
      </c>
      <c r="P87" s="5">
        <v>910375000000</v>
      </c>
      <c r="Q87" s="5">
        <v>754591000000</v>
      </c>
      <c r="R87" s="5">
        <v>6772464000000</v>
      </c>
      <c r="S87" s="5">
        <v>-344263000000</v>
      </c>
      <c r="T87" s="5">
        <v>413501000000</v>
      </c>
      <c r="U87" s="5">
        <v>-1251927000000</v>
      </c>
      <c r="V87" s="5">
        <v>180063000000</v>
      </c>
      <c r="W87" s="5">
        <v>-47589000000</v>
      </c>
    </row>
    <row r="88" spans="2:26" ht="15.5" x14ac:dyDescent="0.35">
      <c r="C88" t="s">
        <v>81</v>
      </c>
      <c r="D88" s="5">
        <v>13303616000000</v>
      </c>
      <c r="E88" s="5">
        <v>13730952000000</v>
      </c>
      <c r="F88" s="5">
        <v>15150195000000</v>
      </c>
      <c r="G88" s="5">
        <v>15514961000000</v>
      </c>
      <c r="I88" s="5">
        <v>58909057000000</v>
      </c>
      <c r="J88" s="5">
        <v>54506320000000</v>
      </c>
      <c r="K88" s="5">
        <v>47551886000000</v>
      </c>
      <c r="L88" s="5">
        <v>37432854000000</v>
      </c>
      <c r="M88" s="5">
        <v>31867065000000</v>
      </c>
      <c r="N88" s="5">
        <v>31036451000000</v>
      </c>
      <c r="O88" s="5">
        <v>31138261000000</v>
      </c>
      <c r="P88" s="5">
        <v>26762035000000</v>
      </c>
      <c r="Q88" s="5">
        <v>24075741000000</v>
      </c>
      <c r="R88" s="5">
        <v>27404745000000</v>
      </c>
      <c r="S88" s="5">
        <v>17691505000000</v>
      </c>
      <c r="T88" s="5">
        <v>16925171000000</v>
      </c>
      <c r="U88" s="5">
        <v>13004312000000</v>
      </c>
      <c r="V88" s="5">
        <v>11898523000000</v>
      </c>
      <c r="W88" s="5">
        <v>10770209000000</v>
      </c>
    </row>
    <row r="89" spans="2:26" ht="15.5" x14ac:dyDescent="0.35">
      <c r="C89" t="s">
        <v>82</v>
      </c>
      <c r="D89" s="5">
        <v>14689799000000</v>
      </c>
      <c r="E89" s="5">
        <v>14149630000000</v>
      </c>
      <c r="F89" s="5">
        <v>14390494000000</v>
      </c>
      <c r="G89" s="5">
        <v>14875979000000</v>
      </c>
      <c r="I89" s="5">
        <v>57563093000000</v>
      </c>
      <c r="J89" s="5">
        <v>54851274000000</v>
      </c>
      <c r="K89" s="5">
        <v>48658095000000</v>
      </c>
      <c r="L89" s="5">
        <v>40755572000000</v>
      </c>
      <c r="M89" s="5">
        <v>31440159000000</v>
      </c>
      <c r="N89" s="5">
        <v>27147109000000</v>
      </c>
      <c r="O89" s="5">
        <v>28569974000000</v>
      </c>
      <c r="P89" s="5">
        <v>25851660000000</v>
      </c>
      <c r="Q89" s="5">
        <v>23321150000000</v>
      </c>
      <c r="R89" s="5">
        <v>20632281000000</v>
      </c>
      <c r="S89" s="5">
        <v>18035768000000</v>
      </c>
      <c r="T89" s="5">
        <v>16511670000000</v>
      </c>
      <c r="U89" s="5">
        <v>14256239000000</v>
      </c>
      <c r="V89" s="5">
        <v>11718460000000</v>
      </c>
      <c r="W89" s="5">
        <v>10817798000000</v>
      </c>
      <c r="X89" s="5">
        <v>8479273000000</v>
      </c>
      <c r="Y89" s="5">
        <v>6807242000000</v>
      </c>
      <c r="Z89" s="5">
        <v>5776139000000</v>
      </c>
    </row>
    <row r="90" spans="2:26" ht="15.5" x14ac:dyDescent="0.35">
      <c r="C90" t="s">
        <v>6</v>
      </c>
      <c r="D90" s="5">
        <v>13298307000000</v>
      </c>
      <c r="E90" s="5">
        <v>13729080000000</v>
      </c>
      <c r="F90" s="5">
        <v>15135815000000</v>
      </c>
      <c r="G90" s="5">
        <v>15505617000000</v>
      </c>
      <c r="I90" s="5">
        <v>58882446000000</v>
      </c>
      <c r="J90" s="5">
        <v>54493191000000</v>
      </c>
      <c r="K90" s="5">
        <v>47533598000000</v>
      </c>
      <c r="L90" s="5">
        <v>37413477000000</v>
      </c>
      <c r="M90" s="5">
        <v>31849276000000</v>
      </c>
      <c r="N90" s="5">
        <v>31018293000000</v>
      </c>
      <c r="O90" s="5">
        <v>31131779000000</v>
      </c>
      <c r="P90" s="5">
        <v>26766431000000</v>
      </c>
      <c r="Q90" s="5">
        <v>24063606000000</v>
      </c>
      <c r="R90" s="5">
        <v>27378282000000</v>
      </c>
      <c r="S90" s="5">
        <v>17673517000000</v>
      </c>
      <c r="T90" s="5">
        <v>16899359000000</v>
      </c>
      <c r="U90" s="5">
        <v>13001904000000</v>
      </c>
      <c r="V90" s="5">
        <v>11901780000000</v>
      </c>
      <c r="W90" s="5">
        <v>10771720000000</v>
      </c>
    </row>
    <row r="91" spans="2:26" ht="15.5" x14ac:dyDescent="0.35">
      <c r="C91" t="s">
        <v>459</v>
      </c>
      <c r="D91" s="5">
        <v>5309000000</v>
      </c>
      <c r="E91" s="5">
        <v>1872000000</v>
      </c>
      <c r="F91" s="5">
        <v>14380000000</v>
      </c>
      <c r="G91" s="5">
        <v>9344000000</v>
      </c>
      <c r="I91" s="5">
        <v>26611000000</v>
      </c>
      <c r="J91" s="5">
        <v>13129000000</v>
      </c>
      <c r="K91" s="5">
        <v>18288000000</v>
      </c>
      <c r="L91" s="5">
        <v>19377000000</v>
      </c>
      <c r="M91" s="5">
        <v>17789000000</v>
      </c>
      <c r="N91" s="5">
        <v>18158000000</v>
      </c>
      <c r="O91" s="5">
        <v>6482000000</v>
      </c>
      <c r="P91" s="5">
        <v>-4396000000</v>
      </c>
      <c r="Q91" s="5">
        <v>12135000000</v>
      </c>
      <c r="R91" s="5">
        <v>26463000000</v>
      </c>
      <c r="S91" s="5">
        <v>17988000000</v>
      </c>
      <c r="T91" s="5">
        <v>25812000000</v>
      </c>
      <c r="U91" s="5">
        <v>2408000000</v>
      </c>
      <c r="V91" s="5">
        <v>-3257000000</v>
      </c>
      <c r="W91" s="5">
        <v>-1511000000</v>
      </c>
    </row>
    <row r="92" spans="2:26" ht="15.5" x14ac:dyDescent="0.35">
      <c r="C92" t="s">
        <v>83</v>
      </c>
      <c r="D92" s="5">
        <v>14689799000000</v>
      </c>
      <c r="E92" s="5">
        <v>14149630000000</v>
      </c>
      <c r="F92" s="5">
        <v>14390494000000</v>
      </c>
      <c r="G92" s="5">
        <v>14875979000000</v>
      </c>
      <c r="I92" s="5">
        <v>57563093000000</v>
      </c>
      <c r="J92" s="5">
        <v>54851274000000</v>
      </c>
      <c r="K92" s="5">
        <v>48658095000000</v>
      </c>
      <c r="L92" s="5">
        <v>40755572000000</v>
      </c>
      <c r="M92" s="5">
        <v>31440159000000</v>
      </c>
      <c r="N92" s="5">
        <v>27147109000000</v>
      </c>
      <c r="O92" s="5">
        <v>28569974000000</v>
      </c>
      <c r="P92" s="5">
        <v>25851660000000</v>
      </c>
      <c r="Q92" s="5">
        <v>23321150000000</v>
      </c>
      <c r="R92" s="5">
        <v>20632281000000</v>
      </c>
      <c r="S92" s="5">
        <v>18035768000000</v>
      </c>
      <c r="T92" s="5">
        <v>16511670000000</v>
      </c>
      <c r="U92" s="5">
        <v>14256239000000</v>
      </c>
      <c r="V92" s="5">
        <v>11718460000000</v>
      </c>
      <c r="W92" s="5">
        <v>10817798000000</v>
      </c>
      <c r="X92" s="5">
        <v>8479273000000</v>
      </c>
      <c r="Y92" s="5">
        <v>6807242000000</v>
      </c>
      <c r="Z92" s="5">
        <v>5776139000000</v>
      </c>
    </row>
    <row r="93" spans="2:26" ht="15.5" x14ac:dyDescent="0.35">
      <c r="C93" t="s">
        <v>84</v>
      </c>
      <c r="D93" s="5">
        <v>13303616000000</v>
      </c>
      <c r="E93" s="5">
        <v>13730952000000</v>
      </c>
      <c r="F93" s="5">
        <v>15150195000000</v>
      </c>
      <c r="G93" s="5">
        <v>15514961000000</v>
      </c>
      <c r="I93" s="5">
        <v>58909057000000</v>
      </c>
      <c r="J93" s="5">
        <v>54506320000000</v>
      </c>
      <c r="K93" s="5">
        <v>47551886000000</v>
      </c>
      <c r="L93" s="5">
        <v>37432854000000</v>
      </c>
      <c r="M93" s="5">
        <v>31867065000000</v>
      </c>
      <c r="N93" s="5">
        <v>31036451000000</v>
      </c>
      <c r="O93" s="5">
        <v>31138261000000</v>
      </c>
      <c r="P93" s="5">
        <v>26762035000000</v>
      </c>
      <c r="Q93" s="5">
        <v>24075741000000</v>
      </c>
      <c r="R93" s="5">
        <v>27404745000000</v>
      </c>
      <c r="S93" s="5">
        <v>17691505000000</v>
      </c>
      <c r="T93" s="5">
        <v>16925171000000</v>
      </c>
      <c r="U93" s="5">
        <v>13004312000000</v>
      </c>
      <c r="V93" s="5">
        <v>11898523000000</v>
      </c>
      <c r="W93" s="5">
        <v>10770209000000</v>
      </c>
    </row>
    <row r="94" spans="2:26" ht="15.5" x14ac:dyDescent="0.35">
      <c r="C94" t="s">
        <v>85</v>
      </c>
      <c r="D94" s="5">
        <v>13303616000000</v>
      </c>
      <c r="E94" s="5">
        <v>13730952000000</v>
      </c>
      <c r="F94" s="5">
        <v>15150195000000</v>
      </c>
      <c r="G94" s="5">
        <v>15514961000000</v>
      </c>
      <c r="I94" s="5">
        <v>58909057000000</v>
      </c>
      <c r="J94" s="5">
        <v>54506320000000</v>
      </c>
      <c r="K94" s="5">
        <v>47551886000000</v>
      </c>
      <c r="L94" s="5">
        <v>37432854000000</v>
      </c>
      <c r="M94" s="5">
        <v>31867065000000</v>
      </c>
      <c r="N94" s="5">
        <v>31036451000000</v>
      </c>
      <c r="O94" s="5">
        <v>31138261000000</v>
      </c>
      <c r="P94" s="5">
        <v>26762035000000</v>
      </c>
      <c r="Q94" s="5">
        <v>24075741000000</v>
      </c>
      <c r="R94" s="5">
        <v>27404745000000</v>
      </c>
      <c r="S94" s="5">
        <v>17691505000000</v>
      </c>
      <c r="T94" s="5">
        <v>16925171000000</v>
      </c>
      <c r="U94" s="5">
        <v>13004312000000</v>
      </c>
      <c r="V94" s="5">
        <v>11898523000000</v>
      </c>
      <c r="W94" s="5">
        <v>10770209000000</v>
      </c>
    </row>
    <row r="96" spans="2:26" ht="15.5" x14ac:dyDescent="0.35">
      <c r="B96" t="s">
        <v>86</v>
      </c>
      <c r="C96" t="s">
        <v>87</v>
      </c>
    </row>
    <row r="97" spans="3:26" ht="15.5" x14ac:dyDescent="0.35">
      <c r="C97" t="s">
        <v>18</v>
      </c>
      <c r="D97" s="5">
        <v>23963776000000</v>
      </c>
      <c r="E97" s="5">
        <v>25305031000000</v>
      </c>
      <c r="F97" s="5">
        <v>18427521000000</v>
      </c>
      <c r="G97" s="5">
        <v>22174448000000</v>
      </c>
      <c r="I97" s="5">
        <v>25305031000000</v>
      </c>
      <c r="J97" s="5">
        <v>29315878000000</v>
      </c>
      <c r="K97" s="5">
        <v>21701514000000</v>
      </c>
      <c r="L97" s="5">
        <v>21359509000000</v>
      </c>
      <c r="M97" s="5">
        <v>23615635000000</v>
      </c>
      <c r="N97" s="5">
        <v>24322335000000</v>
      </c>
      <c r="O97" s="5">
        <v>25421406000000</v>
      </c>
      <c r="P97" s="5">
        <v>21691443000000</v>
      </c>
      <c r="Q97" s="5">
        <v>16754289000000</v>
      </c>
      <c r="R97" s="5">
        <v>15943854000000</v>
      </c>
      <c r="S97" s="5">
        <v>17849460000000</v>
      </c>
      <c r="T97" s="5">
        <v>19577571000000</v>
      </c>
      <c r="U97" s="5">
        <v>16284142000000</v>
      </c>
      <c r="V97" s="5">
        <v>11054208000000</v>
      </c>
      <c r="W97" s="5">
        <v>10355620000000</v>
      </c>
      <c r="X97" s="5">
        <v>9639057000000</v>
      </c>
      <c r="Y97" s="5">
        <v>8865151000000</v>
      </c>
      <c r="Z97" s="5">
        <v>10798921000000</v>
      </c>
    </row>
    <row r="98" spans="3:26" ht="15.5" x14ac:dyDescent="0.35">
      <c r="C98" t="s">
        <v>460</v>
      </c>
      <c r="D98" s="5">
        <v>58196922000000</v>
      </c>
      <c r="E98" s="5">
        <v>47768278000000</v>
      </c>
      <c r="F98" s="5">
        <v>60159738000000</v>
      </c>
      <c r="G98" s="5">
        <v>51752065000000</v>
      </c>
      <c r="I98" s="5">
        <v>47768278000000</v>
      </c>
      <c r="J98" s="5">
        <v>36408142000000</v>
      </c>
      <c r="K98" s="5">
        <v>92617705000000</v>
      </c>
      <c r="L98" s="5">
        <v>104110295000000</v>
      </c>
      <c r="M98" s="5">
        <v>65785161000000</v>
      </c>
      <c r="N98" s="5">
        <v>27482178000000</v>
      </c>
      <c r="O98" s="5">
        <v>47904674000000</v>
      </c>
      <c r="P98" s="5">
        <v>43548309000000</v>
      </c>
      <c r="Q98" s="5">
        <v>43472752000000</v>
      </c>
      <c r="R98" s="5">
        <v>40596730000000</v>
      </c>
      <c r="S98" s="5">
        <v>37774577000000</v>
      </c>
      <c r="T98" s="5">
        <v>38875175000000</v>
      </c>
      <c r="U98" s="5">
        <v>35269077000000</v>
      </c>
      <c r="V98" s="5">
        <v>33848000000000</v>
      </c>
      <c r="W98" s="5">
        <v>31881075000000</v>
      </c>
      <c r="X98" s="5">
        <v>20585480000000</v>
      </c>
      <c r="Y98" s="5">
        <v>11511278000000</v>
      </c>
      <c r="Z98" s="5">
        <v>9668608000000</v>
      </c>
    </row>
    <row r="99" spans="3:26" ht="15.5" x14ac:dyDescent="0.35">
      <c r="C99" t="s">
        <v>461</v>
      </c>
      <c r="D99" s="5">
        <v>27341419000000</v>
      </c>
      <c r="E99" s="5">
        <v>9813541000000</v>
      </c>
      <c r="F99" s="5">
        <v>11291795000000</v>
      </c>
      <c r="G99" s="5">
        <v>24418295000000</v>
      </c>
      <c r="I99" s="5">
        <v>9813541000000</v>
      </c>
      <c r="J99" s="5">
        <v>15714884000000</v>
      </c>
      <c r="K99" s="5">
        <v>5201661000000</v>
      </c>
      <c r="L99" s="5">
        <v>31377152000000</v>
      </c>
      <c r="M99" s="5">
        <v>87149005000000</v>
      </c>
      <c r="N99" s="5">
        <v>47450890000000</v>
      </c>
      <c r="O99" s="5">
        <v>30948274000000</v>
      </c>
      <c r="P99" s="5">
        <v>31682811000000</v>
      </c>
      <c r="Q99" s="5">
        <v>18969682000000</v>
      </c>
      <c r="R99" s="5">
        <v>35363890000000</v>
      </c>
      <c r="S99" s="5">
        <v>56259099000000</v>
      </c>
      <c r="T99" s="5">
        <v>11502178000000</v>
      </c>
      <c r="U99" s="5">
        <v>12254043000000</v>
      </c>
      <c r="V99" s="5">
        <v>28802130000000</v>
      </c>
      <c r="W99" s="5">
        <v>43010506000000</v>
      </c>
      <c r="X99" s="5">
        <v>61326849000000</v>
      </c>
      <c r="Y99" s="5">
        <v>5259335000000</v>
      </c>
      <c r="Z99" s="5">
        <v>4936408000000</v>
      </c>
    </row>
    <row r="100" spans="3:26" ht="15.5" x14ac:dyDescent="0.35">
      <c r="C100" t="s">
        <v>73</v>
      </c>
      <c r="D100" s="5">
        <v>8754292000000</v>
      </c>
      <c r="E100" s="5">
        <v>11244262000000</v>
      </c>
      <c r="F100" s="5">
        <v>13070539000000</v>
      </c>
      <c r="G100" s="5">
        <v>12622429000000</v>
      </c>
      <c r="I100" s="5">
        <v>11244262000000</v>
      </c>
      <c r="J100" s="5">
        <v>11871284000000</v>
      </c>
      <c r="K100" s="5">
        <v>12308976000000</v>
      </c>
      <c r="L100" s="5">
        <v>12969833000000</v>
      </c>
      <c r="M100" s="5">
        <v>16042726000000</v>
      </c>
      <c r="N100" s="5">
        <v>16966716000000</v>
      </c>
      <c r="O100" s="5">
        <v>11838868000000</v>
      </c>
      <c r="P100" s="5">
        <v>9000908000000</v>
      </c>
      <c r="Q100" s="5">
        <v>8215318000000</v>
      </c>
      <c r="R100" s="5">
        <v>6824407000000</v>
      </c>
      <c r="S100" s="5">
        <v>268866000000</v>
      </c>
      <c r="T100" s="5">
        <v>245586000000</v>
      </c>
      <c r="U100" s="5">
        <v>-167915000000</v>
      </c>
      <c r="V100" s="5">
        <v>355230000000</v>
      </c>
      <c r="W100" s="5">
        <v>-15829000000</v>
      </c>
      <c r="X100" s="5">
        <v>142953000000</v>
      </c>
      <c r="Y100" s="5">
        <v>-167461000000</v>
      </c>
      <c r="Z100" s="5">
        <v>-495953000000</v>
      </c>
    </row>
    <row r="101" spans="3:26" ht="15.5" x14ac:dyDescent="0.35">
      <c r="C101" t="s">
        <v>462</v>
      </c>
      <c r="D101" s="5">
        <v>27341419000000</v>
      </c>
      <c r="E101" s="5">
        <v>9813541000000</v>
      </c>
      <c r="F101" s="5">
        <v>11291795000000</v>
      </c>
      <c r="G101" s="5">
        <v>24418295000000</v>
      </c>
      <c r="I101" s="5">
        <v>9813541000000</v>
      </c>
      <c r="J101" s="5">
        <v>15714884000000</v>
      </c>
      <c r="K101" s="5">
        <v>5201661000000</v>
      </c>
      <c r="L101" s="5">
        <v>31377152000000</v>
      </c>
      <c r="M101" s="5">
        <v>87149005000000</v>
      </c>
      <c r="N101" s="5">
        <v>47450890000000</v>
      </c>
      <c r="O101" s="5">
        <v>30948274000000</v>
      </c>
      <c r="P101" s="5">
        <v>31682811000000</v>
      </c>
      <c r="Q101" s="5">
        <v>18969682000000</v>
      </c>
      <c r="R101" s="5">
        <v>35363890000000</v>
      </c>
      <c r="S101" s="5">
        <v>56259099000000</v>
      </c>
      <c r="T101" s="5">
        <v>11502178000000</v>
      </c>
      <c r="U101" s="5">
        <v>12254043000000</v>
      </c>
      <c r="V101" s="5">
        <v>28802130000000</v>
      </c>
      <c r="W101" s="5">
        <v>43010506000000</v>
      </c>
      <c r="X101" s="5">
        <v>61326849000000</v>
      </c>
      <c r="Y101" s="5">
        <v>5259335000000</v>
      </c>
      <c r="Z101" s="5">
        <v>4936408000000</v>
      </c>
    </row>
    <row r="102" spans="3:26" ht="15.5" x14ac:dyDescent="0.35">
      <c r="C102" t="s">
        <v>463</v>
      </c>
      <c r="W102" s="5">
        <v>33459395000000</v>
      </c>
      <c r="X102" s="5">
        <v>40698422000000</v>
      </c>
      <c r="Y102" s="5">
        <v>42494673000000</v>
      </c>
      <c r="Z102" s="5">
        <v>39810702000000</v>
      </c>
    </row>
    <row r="103" spans="3:26" ht="15.5" x14ac:dyDescent="0.35">
      <c r="C103" t="s">
        <v>464</v>
      </c>
    </row>
    <row r="104" spans="3:26" ht="15.5" x14ac:dyDescent="0.35">
      <c r="C104" t="s">
        <v>91</v>
      </c>
      <c r="F104" s="5">
        <v>2665627000000</v>
      </c>
      <c r="G104" s="5">
        <v>3025662000000</v>
      </c>
      <c r="J104" s="5">
        <v>3235633000000</v>
      </c>
      <c r="K104" s="5">
        <v>2639237000000</v>
      </c>
      <c r="L104" s="5">
        <v>2412327000000</v>
      </c>
      <c r="M104" s="5">
        <v>2730363000000</v>
      </c>
      <c r="N104" s="5">
        <v>1628726000000</v>
      </c>
      <c r="O104" s="5">
        <v>1326903000000</v>
      </c>
      <c r="P104" s="5">
        <v>2489190000000</v>
      </c>
      <c r="Q104" s="5">
        <v>3290867000000</v>
      </c>
      <c r="R104" s="5">
        <v>8099416000000</v>
      </c>
      <c r="S104" s="5">
        <v>1227133000000</v>
      </c>
      <c r="T104" s="5">
        <v>1119576000000</v>
      </c>
      <c r="U104" s="5">
        <v>987860000000</v>
      </c>
      <c r="V104" s="5">
        <v>1484745000000</v>
      </c>
      <c r="W104" s="5">
        <v>836835000000</v>
      </c>
      <c r="X104" s="5">
        <v>36609000000</v>
      </c>
      <c r="Y104" s="5">
        <v>49125000000</v>
      </c>
      <c r="Z104" s="5">
        <v>41489000000</v>
      </c>
    </row>
    <row r="105" spans="3:26" ht="15.5" x14ac:dyDescent="0.35">
      <c r="C105" t="s">
        <v>92</v>
      </c>
      <c r="D105" s="5">
        <v>1276408911000000</v>
      </c>
      <c r="E105" s="5">
        <v>1233799081000000</v>
      </c>
      <c r="F105" s="5">
        <v>1187998510000000</v>
      </c>
      <c r="G105" s="5">
        <v>1172944383000000</v>
      </c>
      <c r="I105" s="5">
        <v>1233799081000000</v>
      </c>
      <c r="J105" s="5">
        <v>1117378034000000</v>
      </c>
      <c r="K105" s="5">
        <v>1088127570000000</v>
      </c>
      <c r="L105" s="5">
        <v>1028039456000000</v>
      </c>
      <c r="M105" s="5">
        <v>965876381000000</v>
      </c>
      <c r="N105" s="5">
        <v>832655117000000</v>
      </c>
      <c r="O105" s="5">
        <v>697653165000000</v>
      </c>
      <c r="P105" s="5">
        <v>627322827000000</v>
      </c>
      <c r="Q105" s="5">
        <v>577824575000000</v>
      </c>
      <c r="R105" s="5">
        <v>522034209000000</v>
      </c>
      <c r="S105" s="5">
        <v>472439082000000</v>
      </c>
      <c r="T105" s="5">
        <v>446786180000000</v>
      </c>
      <c r="U105" s="5">
        <v>408497903000000</v>
      </c>
      <c r="V105" s="5">
        <v>368789454000000</v>
      </c>
      <c r="W105" s="5">
        <v>322590757000000</v>
      </c>
      <c r="X105" s="5">
        <v>277494026000000</v>
      </c>
      <c r="Y105" s="5">
        <v>245090821000000</v>
      </c>
      <c r="Z105" s="5">
        <v>209487432000000</v>
      </c>
    </row>
    <row r="106" spans="3:26" ht="15.5" x14ac:dyDescent="0.35">
      <c r="C106" t="s">
        <v>465</v>
      </c>
      <c r="D106" s="5">
        <v>940174398000000</v>
      </c>
      <c r="E106" s="5">
        <v>940481200000000</v>
      </c>
      <c r="F106" s="5">
        <v>890532271000000</v>
      </c>
      <c r="G106" s="5">
        <v>905034168000000</v>
      </c>
      <c r="I106" s="5">
        <v>940481200000000</v>
      </c>
      <c r="J106" s="5">
        <v>868686210000000</v>
      </c>
      <c r="K106" s="5">
        <v>758887839000000</v>
      </c>
      <c r="L106" s="5">
        <v>660989004000000</v>
      </c>
      <c r="M106" s="5">
        <v>589813578000000</v>
      </c>
      <c r="N106" s="5">
        <v>547643666000000</v>
      </c>
      <c r="O106" s="5">
        <v>572033999000000</v>
      </c>
      <c r="P106" s="5">
        <v>524530462000000</v>
      </c>
      <c r="Q106" s="5">
        <v>454264956000000</v>
      </c>
      <c r="R106" s="5">
        <v>403391221000000</v>
      </c>
      <c r="S106" s="5">
        <v>378616292000000</v>
      </c>
      <c r="T106" s="5">
        <v>339859068000000</v>
      </c>
      <c r="U106" s="5">
        <v>306679132000000</v>
      </c>
      <c r="V106" s="5">
        <v>252760457000000</v>
      </c>
      <c r="W106" s="5">
        <v>198440354000000</v>
      </c>
      <c r="X106" s="5">
        <v>150016746000000</v>
      </c>
      <c r="Y106" s="5">
        <v>119595661000000</v>
      </c>
      <c r="Z106" s="5">
        <v>110026861000000</v>
      </c>
    </row>
    <row r="107" spans="3:26" ht="15.5" x14ac:dyDescent="0.35">
      <c r="C107" t="s">
        <v>466</v>
      </c>
      <c r="D107" s="5">
        <v>9342582000000</v>
      </c>
      <c r="E107" s="5">
        <v>8953987000000</v>
      </c>
      <c r="F107" s="5">
        <v>9365514000000</v>
      </c>
      <c r="G107" s="5">
        <v>9207657000000</v>
      </c>
      <c r="I107" s="5">
        <v>8953987000000</v>
      </c>
      <c r="J107" s="5">
        <v>9435564000000</v>
      </c>
      <c r="K107" s="5">
        <v>8713450000000</v>
      </c>
      <c r="L107" s="5">
        <v>8215427000000</v>
      </c>
      <c r="M107" s="5">
        <v>7855976000000</v>
      </c>
      <c r="N107" s="5">
        <v>7605934000000</v>
      </c>
      <c r="O107" s="5">
        <v>10532424000000</v>
      </c>
      <c r="P107" s="5">
        <v>7613709000000</v>
      </c>
      <c r="Q107" s="5">
        <v>8506983000000</v>
      </c>
      <c r="R107" s="5">
        <v>8207469000000</v>
      </c>
      <c r="S107" s="5">
        <v>7407519000000</v>
      </c>
      <c r="T107" s="5">
        <v>6973228000000</v>
      </c>
      <c r="U107" s="5">
        <v>5229338000000</v>
      </c>
      <c r="V107" s="5">
        <v>4487552000000</v>
      </c>
      <c r="W107" s="5">
        <v>3498699000000</v>
      </c>
      <c r="X107" s="5">
        <v>2973425000000</v>
      </c>
      <c r="Y107" s="5">
        <v>1902262000000</v>
      </c>
      <c r="Z107" s="5">
        <v>1409286000000</v>
      </c>
    </row>
    <row r="108" spans="3:26" ht="15.5" x14ac:dyDescent="0.35">
      <c r="C108" t="s">
        <v>100</v>
      </c>
      <c r="D108" s="5">
        <v>28095487000000</v>
      </c>
      <c r="E108" s="5">
        <v>28473684000000</v>
      </c>
      <c r="F108" s="5">
        <v>27489802000000</v>
      </c>
      <c r="G108" s="5">
        <v>27789091000000</v>
      </c>
      <c r="I108" s="5">
        <v>28473684000000</v>
      </c>
      <c r="J108" s="5">
        <v>28250624000000</v>
      </c>
      <c r="K108" s="5">
        <v>26824744000000</v>
      </c>
      <c r="L108" s="5">
        <v>24709372000000</v>
      </c>
      <c r="M108" s="5">
        <v>22169299000000</v>
      </c>
      <c r="N108" s="5">
        <v>21915054000000</v>
      </c>
      <c r="O108" s="5">
        <v>20852301000000</v>
      </c>
      <c r="P108" s="5">
        <v>19336901000000</v>
      </c>
      <c r="Q108" s="5">
        <v>16868949000000</v>
      </c>
      <c r="R108" s="5">
        <v>16990835000000</v>
      </c>
      <c r="S108" s="5">
        <v>9712021000000</v>
      </c>
      <c r="T108" s="5">
        <v>8844930000000</v>
      </c>
      <c r="U108" s="5">
        <v>7440017000000</v>
      </c>
      <c r="V108" s="5">
        <v>6406625000000</v>
      </c>
      <c r="W108" s="5">
        <v>4144659000000</v>
      </c>
      <c r="X108" s="5">
        <v>3406957000000</v>
      </c>
      <c r="Y108" s="5">
        <v>1046739000000</v>
      </c>
      <c r="Z108" s="5">
        <v>770686000000</v>
      </c>
    </row>
    <row r="109" spans="3:26" ht="15.5" x14ac:dyDescent="0.35">
      <c r="C109" t="s">
        <v>103</v>
      </c>
      <c r="D109" s="5">
        <v>5607614000000</v>
      </c>
      <c r="E109" s="5">
        <v>5852206000000</v>
      </c>
      <c r="F109" s="5">
        <v>5420532000000</v>
      </c>
      <c r="G109" s="5">
        <v>4790811000000</v>
      </c>
      <c r="I109" s="5">
        <v>5852206000000</v>
      </c>
      <c r="J109" s="5">
        <v>5495208000000</v>
      </c>
      <c r="K109" s="5">
        <v>7451236000000</v>
      </c>
      <c r="L109" s="5">
        <v>7321331000000</v>
      </c>
      <c r="M109" s="5">
        <v>5525516000000</v>
      </c>
      <c r="N109" s="5">
        <v>4880722000000</v>
      </c>
      <c r="O109" s="5">
        <v>3184290000000</v>
      </c>
      <c r="P109" s="5">
        <v>3147666000000</v>
      </c>
      <c r="Q109" s="5">
        <v>3219241000000</v>
      </c>
      <c r="R109" s="5">
        <v>3548734000000</v>
      </c>
      <c r="S109" s="5">
        <v>3225988000000</v>
      </c>
      <c r="T109" s="5">
        <v>1962039000000</v>
      </c>
      <c r="U109" s="5">
        <v>1779493000000</v>
      </c>
      <c r="V109" s="5">
        <v>919802000000</v>
      </c>
      <c r="W109" s="5">
        <v>798382000000</v>
      </c>
      <c r="X109" s="5">
        <v>951767000000</v>
      </c>
      <c r="Y109" s="5">
        <v>2971269000000</v>
      </c>
      <c r="Z109" s="5">
        <v>2644785000000</v>
      </c>
    </row>
    <row r="110" spans="3:26" ht="15.5" x14ac:dyDescent="0.35">
      <c r="C110" t="s">
        <v>102</v>
      </c>
      <c r="D110" s="5">
        <v>1735904000000</v>
      </c>
      <c r="E110" s="5">
        <v>1778772000000</v>
      </c>
      <c r="F110" s="5">
        <v>1738924000000</v>
      </c>
      <c r="G110" s="5">
        <v>1748817000000</v>
      </c>
      <c r="I110" s="5">
        <v>1778772000000</v>
      </c>
      <c r="J110" s="5">
        <v>1805639000000</v>
      </c>
      <c r="K110" s="5">
        <v>1564773000000</v>
      </c>
      <c r="L110" s="5">
        <v>1567120000000</v>
      </c>
      <c r="M110" s="5">
        <v>1582292000000</v>
      </c>
      <c r="N110" s="5">
        <v>1629620000000</v>
      </c>
      <c r="O110" s="5">
        <v>1377452000000</v>
      </c>
      <c r="P110" s="5">
        <v>679331000000</v>
      </c>
    </row>
    <row r="111" spans="3:26" ht="15.5" x14ac:dyDescent="0.35">
      <c r="C111" t="s">
        <v>105</v>
      </c>
      <c r="D111" s="5">
        <v>1640830566000000</v>
      </c>
      <c r="E111" s="5">
        <v>1586828536000000</v>
      </c>
      <c r="F111" s="5">
        <v>1538501812000000</v>
      </c>
      <c r="G111" s="5">
        <v>1504118975000000</v>
      </c>
      <c r="I111" s="5">
        <v>1586828536000000</v>
      </c>
      <c r="J111" s="5">
        <v>1449301328000000</v>
      </c>
      <c r="K111" s="5">
        <v>1408107010000000</v>
      </c>
      <c r="L111" s="5">
        <v>1314731674000000</v>
      </c>
      <c r="M111" s="5">
        <v>1228344680000000</v>
      </c>
      <c r="N111" s="5">
        <v>1075570256000000</v>
      </c>
      <c r="O111" s="5">
        <v>918989312000000</v>
      </c>
      <c r="P111" s="5">
        <v>824787944000000</v>
      </c>
      <c r="Q111" s="5">
        <v>750319671000000</v>
      </c>
      <c r="R111" s="5">
        <v>676738753000000</v>
      </c>
      <c r="S111" s="5">
        <v>594372770000000</v>
      </c>
      <c r="T111" s="5">
        <v>552423892000000</v>
      </c>
      <c r="U111" s="5">
        <v>496304573000000</v>
      </c>
      <c r="V111" s="5">
        <v>442994197000000</v>
      </c>
      <c r="W111" s="5">
        <v>381908353000000</v>
      </c>
      <c r="X111" s="5">
        <v>324419069000000</v>
      </c>
      <c r="Y111" s="5">
        <v>282392294000000</v>
      </c>
      <c r="Z111" s="5">
        <v>245569856000000</v>
      </c>
    </row>
    <row r="112" spans="3:26" ht="15.5" x14ac:dyDescent="0.35">
      <c r="C112" t="s">
        <v>106</v>
      </c>
    </row>
    <row r="113" spans="3:26" ht="15.5" x14ac:dyDescent="0.35">
      <c r="C113" t="s">
        <v>107</v>
      </c>
    </row>
    <row r="114" spans="3:26" ht="15.5" x14ac:dyDescent="0.35">
      <c r="C114" t="s">
        <v>467</v>
      </c>
      <c r="W114" s="5">
        <v>1989624000000</v>
      </c>
      <c r="X114" s="5">
        <v>1005633000000</v>
      </c>
      <c r="Y114" s="5">
        <v>841266000000</v>
      </c>
      <c r="Z114" s="5">
        <v>1121603000000</v>
      </c>
    </row>
    <row r="115" spans="3:26" ht="15.5" x14ac:dyDescent="0.35">
      <c r="C115" t="s">
        <v>468</v>
      </c>
      <c r="D115" s="5">
        <v>1276408911000000</v>
      </c>
      <c r="E115" s="5">
        <v>1233799081000000</v>
      </c>
      <c r="F115" s="5">
        <v>1190664137000000</v>
      </c>
      <c r="G115" s="5">
        <v>1175970045000000</v>
      </c>
      <c r="I115" s="5">
        <v>1233799081000000</v>
      </c>
      <c r="J115" s="5">
        <v>1120613667000000</v>
      </c>
      <c r="K115" s="5">
        <v>1090766807000000</v>
      </c>
      <c r="L115" s="5">
        <v>1030451783000000</v>
      </c>
      <c r="M115" s="5">
        <v>968606744000000</v>
      </c>
      <c r="N115" s="5">
        <v>834283843000000</v>
      </c>
      <c r="O115" s="5">
        <v>698980068000000</v>
      </c>
      <c r="P115" s="5">
        <v>629812017000000</v>
      </c>
      <c r="Q115" s="5">
        <v>581115442000000</v>
      </c>
      <c r="R115" s="5">
        <v>530133625000000</v>
      </c>
      <c r="S115" s="5">
        <v>473666215000000</v>
      </c>
      <c r="T115" s="5">
        <v>447905756000000</v>
      </c>
      <c r="U115" s="5">
        <v>409485763000000</v>
      </c>
      <c r="V115" s="5">
        <v>370274199000000</v>
      </c>
      <c r="W115" s="5">
        <v>323427592000000</v>
      </c>
      <c r="X115" s="5">
        <v>277530635000000</v>
      </c>
      <c r="Y115" s="5">
        <v>245139946000000</v>
      </c>
      <c r="Z115" s="5">
        <v>209528921000000</v>
      </c>
    </row>
    <row r="116" spans="3:26" ht="15.5" x14ac:dyDescent="0.35">
      <c r="C116" t="s">
        <v>469</v>
      </c>
      <c r="D116" s="5">
        <v>1276408911000000</v>
      </c>
      <c r="E116" s="5">
        <v>1233799081000000</v>
      </c>
      <c r="F116" s="5">
        <v>1190664137000000</v>
      </c>
      <c r="G116" s="5">
        <v>1175970045000000</v>
      </c>
      <c r="I116" s="5">
        <v>1233799081000000</v>
      </c>
      <c r="J116" s="5">
        <v>1120613667000000</v>
      </c>
      <c r="K116" s="5">
        <v>1090766807000000</v>
      </c>
      <c r="L116" s="5">
        <v>1030451783000000</v>
      </c>
      <c r="M116" s="5">
        <v>968606744000000</v>
      </c>
      <c r="N116" s="5">
        <v>834283843000000</v>
      </c>
      <c r="O116" s="5">
        <v>698980068000000</v>
      </c>
      <c r="P116" s="5">
        <v>629812017000000</v>
      </c>
      <c r="Q116" s="5">
        <v>581115442000000</v>
      </c>
      <c r="R116" s="5">
        <v>530133625000000</v>
      </c>
      <c r="S116" s="5">
        <v>473666215000000</v>
      </c>
      <c r="T116" s="5">
        <v>447905756000000</v>
      </c>
      <c r="U116" s="5">
        <v>409485763000000</v>
      </c>
      <c r="V116" s="5">
        <v>370274199000000</v>
      </c>
      <c r="W116" s="5">
        <v>323427592000000</v>
      </c>
      <c r="X116" s="5">
        <v>277530635000000</v>
      </c>
      <c r="Y116" s="5">
        <v>245139946000000</v>
      </c>
      <c r="Z116" s="5">
        <v>209528921000000</v>
      </c>
    </row>
    <row r="117" spans="3:26" ht="15.5" x14ac:dyDescent="0.35">
      <c r="C117" t="s">
        <v>470</v>
      </c>
    </row>
    <row r="118" spans="3:26" ht="15.5" x14ac:dyDescent="0.35">
      <c r="C118" t="s">
        <v>471</v>
      </c>
      <c r="D118" s="5">
        <v>4297657000000</v>
      </c>
      <c r="E118" s="5">
        <v>3966077000000</v>
      </c>
      <c r="F118" s="5">
        <v>5470047000000</v>
      </c>
      <c r="G118" s="5">
        <v>3413438000000</v>
      </c>
      <c r="I118" s="5">
        <v>3966077000000</v>
      </c>
      <c r="J118" s="5">
        <v>3656298000000</v>
      </c>
      <c r="K118" s="5">
        <v>10070820000000</v>
      </c>
      <c r="L118" s="5">
        <v>7936206000000</v>
      </c>
      <c r="M118" s="5">
        <v>10017194000000</v>
      </c>
      <c r="N118" s="5">
        <v>10163163000000</v>
      </c>
      <c r="O118" s="5">
        <v>6717474000000</v>
      </c>
      <c r="P118" s="5">
        <v>6494491000000</v>
      </c>
      <c r="Q118" s="5">
        <v>5758414000000</v>
      </c>
      <c r="R118" s="5">
        <v>4900942000000</v>
      </c>
      <c r="S118" s="5">
        <v>4156053000000</v>
      </c>
      <c r="T118" s="5">
        <v>3754260000000</v>
      </c>
      <c r="U118" s="5">
        <v>3301039000000</v>
      </c>
      <c r="V118" s="5">
        <v>2330295000000</v>
      </c>
      <c r="W118" s="5">
        <v>3466962000000</v>
      </c>
      <c r="X118" s="5">
        <v>2896477000000</v>
      </c>
      <c r="Y118" s="5">
        <v>2488707000000</v>
      </c>
      <c r="Z118" s="5">
        <v>4048142000000</v>
      </c>
    </row>
    <row r="119" spans="3:26" ht="15.5" x14ac:dyDescent="0.35">
      <c r="C119" t="s">
        <v>472</v>
      </c>
      <c r="D119" s="5">
        <v>4375567000000</v>
      </c>
      <c r="E119" s="5">
        <v>4733862000000</v>
      </c>
      <c r="F119" s="5">
        <v>5413791000000</v>
      </c>
      <c r="G119" s="5">
        <v>5455839000000</v>
      </c>
      <c r="I119" s="5">
        <v>4733862000000</v>
      </c>
      <c r="J119" s="5">
        <v>4651955000000</v>
      </c>
      <c r="K119" s="5">
        <v>6701256000000</v>
      </c>
      <c r="L119" s="5">
        <v>9666648000000</v>
      </c>
      <c r="M119" s="5">
        <v>6644294000000</v>
      </c>
      <c r="N119" s="5">
        <v>4400045000000</v>
      </c>
      <c r="O119" s="5">
        <v>5321249000000</v>
      </c>
      <c r="P119" s="5">
        <v>5843486000000</v>
      </c>
      <c r="Q119" s="5">
        <v>5800477000000</v>
      </c>
      <c r="R119" s="5">
        <v>4187148000000</v>
      </c>
      <c r="S119" s="5">
        <v>4374939000000</v>
      </c>
      <c r="T119" s="5">
        <v>4697946000000</v>
      </c>
      <c r="U119" s="5">
        <v>4539442000000</v>
      </c>
      <c r="V119" s="5">
        <v>5839495000000</v>
      </c>
      <c r="W119" s="5">
        <v>4043322000000</v>
      </c>
      <c r="X119" s="5">
        <v>2550557000000</v>
      </c>
      <c r="Y119" s="5">
        <v>2031512000000</v>
      </c>
      <c r="Z119" s="5">
        <v>3109382000000</v>
      </c>
    </row>
    <row r="120" spans="3:26" ht="15.5" x14ac:dyDescent="0.35">
      <c r="C120" t="s">
        <v>473</v>
      </c>
      <c r="D120" s="5">
        <v>51324000000</v>
      </c>
      <c r="M120" s="5">
        <v>482149000000</v>
      </c>
      <c r="N120" s="5">
        <v>590821000000</v>
      </c>
      <c r="O120" s="5">
        <v>1347523000000</v>
      </c>
      <c r="P120" s="5">
        <v>239735000000</v>
      </c>
      <c r="Q120" s="5">
        <v>610499000000</v>
      </c>
      <c r="R120" s="5">
        <v>2332171000000</v>
      </c>
      <c r="S120" s="5">
        <v>2820965000000</v>
      </c>
      <c r="T120" s="5">
        <v>2503900000000</v>
      </c>
      <c r="U120" s="5">
        <v>3132847000000</v>
      </c>
      <c r="V120" s="5">
        <v>2521877000000</v>
      </c>
      <c r="W120" s="5">
        <v>1481018000000</v>
      </c>
      <c r="X120" s="5">
        <v>1119782000000</v>
      </c>
      <c r="Y120" s="5">
        <v>425947000000</v>
      </c>
      <c r="Z120" s="5">
        <v>535742000000</v>
      </c>
    </row>
    <row r="121" spans="3:26" ht="15.5" x14ac:dyDescent="0.35">
      <c r="C121" t="s">
        <v>474</v>
      </c>
      <c r="D121" s="5">
        <v>2027630000000</v>
      </c>
      <c r="E121" s="5">
        <v>2047436000000</v>
      </c>
      <c r="F121" s="5">
        <v>870646000000</v>
      </c>
      <c r="G121" s="5">
        <v>1014507000000</v>
      </c>
      <c r="I121" s="5">
        <v>2047436000000</v>
      </c>
      <c r="J121" s="5">
        <v>2242516000000</v>
      </c>
      <c r="K121" s="5">
        <v>1629626000000</v>
      </c>
      <c r="L121" s="5">
        <v>1316951000000</v>
      </c>
      <c r="M121" s="5">
        <v>976225000000</v>
      </c>
      <c r="N121" s="5">
        <v>1307298000000</v>
      </c>
      <c r="O121" s="5">
        <v>2332870000000</v>
      </c>
      <c r="P121" s="5">
        <v>2093475000000</v>
      </c>
      <c r="Q121" s="5">
        <v>3040602000000</v>
      </c>
      <c r="R121" s="5">
        <v>2788552000000</v>
      </c>
      <c r="S121" s="5">
        <v>1743337000000</v>
      </c>
      <c r="T121" s="5">
        <v>3080942000000</v>
      </c>
      <c r="U121" s="5">
        <v>500952000000</v>
      </c>
      <c r="V121" s="5">
        <v>128018000000</v>
      </c>
      <c r="W121" s="5">
        <v>449188000000</v>
      </c>
      <c r="X121" s="5">
        <v>448721000000</v>
      </c>
      <c r="Y121" s="5">
        <v>730333000000</v>
      </c>
      <c r="Z121" s="5">
        <v>448325000000</v>
      </c>
    </row>
    <row r="122" spans="3:26" ht="15.5" x14ac:dyDescent="0.35">
      <c r="C122" t="s">
        <v>475</v>
      </c>
      <c r="L122" s="5">
        <v>9740000000</v>
      </c>
      <c r="N122" s="5">
        <v>5957000000</v>
      </c>
    </row>
    <row r="123" spans="3:26" ht="15.5" x14ac:dyDescent="0.35">
      <c r="C123" t="s">
        <v>476</v>
      </c>
      <c r="D123" s="5">
        <v>65000000000</v>
      </c>
      <c r="E123" s="5">
        <v>65000000000</v>
      </c>
      <c r="F123" s="5">
        <v>65000000000</v>
      </c>
      <c r="G123" s="5">
        <v>500000000000</v>
      </c>
      <c r="I123" s="5">
        <v>65000000000</v>
      </c>
      <c r="J123" s="5">
        <v>500000000000</v>
      </c>
      <c r="K123" s="5">
        <v>500000000000</v>
      </c>
      <c r="L123" s="5">
        <v>500000000000</v>
      </c>
      <c r="M123" s="5">
        <v>500000000000</v>
      </c>
      <c r="N123" s="5">
        <v>500000000000</v>
      </c>
      <c r="O123" s="5">
        <v>500000000000</v>
      </c>
      <c r="P123" s="5">
        <v>500000000000</v>
      </c>
    </row>
    <row r="124" spans="3:26" ht="15.5" x14ac:dyDescent="0.35">
      <c r="C124" t="s">
        <v>477</v>
      </c>
      <c r="D124" s="5">
        <v>11111526000000</v>
      </c>
      <c r="E124" s="5">
        <v>10632695000000</v>
      </c>
      <c r="F124" s="5">
        <v>10009286000000</v>
      </c>
      <c r="G124" s="5">
        <v>9238092000000</v>
      </c>
      <c r="I124" s="5">
        <v>10632695000000</v>
      </c>
      <c r="J124" s="5">
        <v>9063133000000</v>
      </c>
      <c r="K124" s="5">
        <v>7893872000000</v>
      </c>
      <c r="L124" s="5">
        <v>6440375000000</v>
      </c>
      <c r="M124" s="5">
        <v>5721988000000</v>
      </c>
      <c r="N124" s="5">
        <v>5317628000000</v>
      </c>
      <c r="O124" s="5">
        <v>4779029000000</v>
      </c>
      <c r="P124" s="5">
        <v>4595738000000</v>
      </c>
      <c r="Q124" s="5">
        <v>3977715000000</v>
      </c>
      <c r="R124" s="5">
        <v>3467007000000</v>
      </c>
      <c r="S124" s="5">
        <v>2802406000000</v>
      </c>
      <c r="T124" s="5">
        <v>1952498000000</v>
      </c>
      <c r="U124" s="5">
        <v>1443902000000</v>
      </c>
      <c r="V124" s="5">
        <v>1029011000000</v>
      </c>
      <c r="W124" s="5">
        <v>715507000000</v>
      </c>
      <c r="X124" s="5">
        <v>460165000000</v>
      </c>
    </row>
    <row r="125" spans="3:26" ht="15.5" x14ac:dyDescent="0.35">
      <c r="C125" t="s">
        <v>128</v>
      </c>
      <c r="D125" s="5">
        <v>1381471773000000</v>
      </c>
      <c r="E125" s="5">
        <v>1305140981000000</v>
      </c>
      <c r="F125" s="5">
        <v>1261866404000000</v>
      </c>
      <c r="G125" s="5">
        <v>1242318069000000</v>
      </c>
      <c r="I125" s="5">
        <v>1305140981000000</v>
      </c>
      <c r="J125" s="5">
        <v>1186466241000000</v>
      </c>
      <c r="K125" s="5">
        <v>1165569417000000</v>
      </c>
      <c r="L125" s="5">
        <v>1093550019000000</v>
      </c>
      <c r="M125" s="5">
        <v>1025495746000000</v>
      </c>
      <c r="N125" s="5">
        <v>890855547000000</v>
      </c>
      <c r="O125" s="5">
        <v>744846156000000</v>
      </c>
      <c r="P125" s="5">
        <v>673034517000000</v>
      </c>
      <c r="Q125" s="5">
        <v>618917977000000</v>
      </c>
      <c r="R125" s="5">
        <v>564023694000000</v>
      </c>
      <c r="S125" s="5">
        <v>504747830000000</v>
      </c>
      <c r="T125" s="5">
        <v>474503275000000</v>
      </c>
      <c r="U125" s="5">
        <v>432337895000000</v>
      </c>
      <c r="V125" s="5">
        <v>391096255000000</v>
      </c>
      <c r="W125" s="5">
        <v>339881013000000</v>
      </c>
      <c r="X125" s="5">
        <v>290311225000000</v>
      </c>
      <c r="Y125" s="5">
        <v>254535601000000</v>
      </c>
      <c r="Z125" s="5">
        <v>222290546000000</v>
      </c>
    </row>
    <row r="126" spans="3:26" ht="15.5" x14ac:dyDescent="0.35">
      <c r="C126" t="s">
        <v>129</v>
      </c>
    </row>
    <row r="127" spans="3:26" ht="15.5" x14ac:dyDescent="0.35">
      <c r="C127" t="s">
        <v>130</v>
      </c>
      <c r="D127" s="5">
        <v>1540938000000</v>
      </c>
      <c r="E127" s="5">
        <v>1540938000000</v>
      </c>
      <c r="F127" s="5">
        <v>1540938000000</v>
      </c>
      <c r="G127" s="5">
        <v>1540938000000</v>
      </c>
      <c r="I127" s="5">
        <v>1540938000000</v>
      </c>
      <c r="J127" s="5">
        <v>1540938000000</v>
      </c>
      <c r="K127" s="5">
        <v>1540938000000</v>
      </c>
      <c r="L127" s="5">
        <v>1540938000000</v>
      </c>
      <c r="M127" s="5">
        <v>1540938000000</v>
      </c>
      <c r="N127" s="5">
        <v>1540938000000</v>
      </c>
      <c r="O127" s="5">
        <v>1540938000000</v>
      </c>
      <c r="P127" s="5">
        <v>1540938000000</v>
      </c>
      <c r="Q127" s="5">
        <v>1540938000000</v>
      </c>
      <c r="R127" s="5">
        <v>1540938000000</v>
      </c>
      <c r="S127" s="5">
        <v>1540938000000</v>
      </c>
      <c r="T127" s="5">
        <v>1540938000000</v>
      </c>
      <c r="U127" s="5">
        <v>1540938000000</v>
      </c>
      <c r="V127" s="5">
        <v>1540938000000</v>
      </c>
      <c r="W127" s="5">
        <v>1540938000000</v>
      </c>
      <c r="X127" s="5">
        <v>1540938000000</v>
      </c>
      <c r="Y127" s="5">
        <v>1540938000000</v>
      </c>
      <c r="Z127" s="5">
        <v>1540938000000</v>
      </c>
    </row>
    <row r="128" spans="3:26" ht="15.5" x14ac:dyDescent="0.35">
      <c r="C128" t="s">
        <v>131</v>
      </c>
      <c r="D128" s="5">
        <v>5492318000000</v>
      </c>
      <c r="E128" s="5">
        <v>5492318000000</v>
      </c>
      <c r="F128" s="5">
        <v>5492318000000</v>
      </c>
      <c r="G128" s="5">
        <v>5548977000000</v>
      </c>
      <c r="I128" s="5">
        <v>5492318000000</v>
      </c>
      <c r="J128" s="5">
        <v>5548977000000</v>
      </c>
      <c r="K128" s="5">
        <v>5548977000000</v>
      </c>
      <c r="L128" s="5">
        <v>5548977000000</v>
      </c>
      <c r="M128" s="5">
        <v>5548977000000</v>
      </c>
      <c r="N128" s="5">
        <v>5548977000000</v>
      </c>
      <c r="O128" s="5">
        <v>5548977000000</v>
      </c>
      <c r="P128" s="5">
        <v>5548977000000</v>
      </c>
      <c r="Q128" s="5">
        <v>5548977000000</v>
      </c>
      <c r="R128" s="5">
        <v>5564552000000</v>
      </c>
      <c r="S128" s="5">
        <v>5564552000000</v>
      </c>
      <c r="T128" s="5">
        <v>5564552000000</v>
      </c>
      <c r="U128" s="5">
        <v>5564552000000</v>
      </c>
      <c r="V128" s="5">
        <v>4396429000000</v>
      </c>
      <c r="W128" s="5">
        <v>3895933000000</v>
      </c>
      <c r="X128" s="5">
        <v>3895933000000</v>
      </c>
      <c r="Y128" s="5">
        <v>3895933000000</v>
      </c>
      <c r="Z128" s="5">
        <v>3895933000000</v>
      </c>
    </row>
    <row r="129" spans="2:26" ht="15.5" x14ac:dyDescent="0.35">
      <c r="C129" t="s">
        <v>132</v>
      </c>
      <c r="D129" s="5">
        <v>243344859000000</v>
      </c>
      <c r="E129" s="5">
        <v>263188960000000</v>
      </c>
      <c r="F129" s="5">
        <v>256311865000000</v>
      </c>
      <c r="G129" s="5">
        <v>241883194000000</v>
      </c>
      <c r="I129" s="5">
        <v>263188960000000</v>
      </c>
      <c r="J129" s="5">
        <v>243679422000000</v>
      </c>
      <c r="K129" s="5">
        <v>222957365000000</v>
      </c>
      <c r="L129" s="5">
        <v>200958858000000</v>
      </c>
      <c r="M129" s="5">
        <v>179580121000000</v>
      </c>
      <c r="N129" s="5">
        <v>160539695000000</v>
      </c>
      <c r="O129" s="5">
        <v>155114148000000</v>
      </c>
      <c r="P129" s="5">
        <v>135568861000000</v>
      </c>
      <c r="Q129" s="5">
        <v>115998322000000</v>
      </c>
      <c r="R129" s="5">
        <v>98503180000000</v>
      </c>
      <c r="S129" s="5">
        <v>81995065000000</v>
      </c>
      <c r="T129" s="5">
        <v>70332010000000</v>
      </c>
      <c r="U129" s="5">
        <v>56928028000000</v>
      </c>
      <c r="V129" s="5">
        <v>45534178000000</v>
      </c>
      <c r="W129" s="5">
        <v>36581874000000</v>
      </c>
      <c r="X129" s="5">
        <v>28528020000000</v>
      </c>
      <c r="Y129" s="5">
        <v>22587283000000</v>
      </c>
      <c r="Z129" s="5">
        <v>18338392000000</v>
      </c>
    </row>
    <row r="130" spans="2:26" ht="15.5" x14ac:dyDescent="0.35">
      <c r="C130" t="s">
        <v>133</v>
      </c>
      <c r="D130" s="5">
        <v>4268903000000</v>
      </c>
      <c r="E130" s="5">
        <v>4268903000000</v>
      </c>
      <c r="F130" s="5">
        <v>4268903000000</v>
      </c>
      <c r="G130" s="5">
        <v>4268903000000</v>
      </c>
      <c r="I130" s="5">
        <v>4268903000000</v>
      </c>
      <c r="J130" s="5">
        <v>3720540000000</v>
      </c>
      <c r="K130" s="5">
        <v>3234149000000</v>
      </c>
      <c r="L130" s="5">
        <v>2826792000000</v>
      </c>
      <c r="M130" s="5">
        <v>2512565000000</v>
      </c>
      <c r="N130" s="5">
        <v>2241254000000</v>
      </c>
      <c r="O130" s="5">
        <v>1955604000000</v>
      </c>
      <c r="P130" s="5">
        <v>1697052000000</v>
      </c>
      <c r="Q130" s="5">
        <v>1463952000000</v>
      </c>
      <c r="R130" s="5">
        <v>1257895000000</v>
      </c>
      <c r="S130" s="5">
        <v>1077708000000</v>
      </c>
      <c r="T130" s="5">
        <v>912850000000</v>
      </c>
      <c r="U130" s="5">
        <v>770311000000</v>
      </c>
      <c r="V130" s="5">
        <v>653094000000</v>
      </c>
      <c r="W130" s="5">
        <v>544901000000</v>
      </c>
      <c r="X130" s="5">
        <v>460108000000</v>
      </c>
      <c r="Y130" s="5">
        <v>392036000000</v>
      </c>
      <c r="Z130" s="5">
        <v>392036000000</v>
      </c>
    </row>
    <row r="131" spans="2:26" ht="15.5" x14ac:dyDescent="0.35">
      <c r="C131" t="s">
        <v>134</v>
      </c>
      <c r="D131" s="5">
        <v>239075956000000</v>
      </c>
      <c r="E131" s="5">
        <v>258920057000000</v>
      </c>
      <c r="F131" s="5">
        <v>252042962000000</v>
      </c>
      <c r="G131" s="5">
        <v>237614291000000</v>
      </c>
      <c r="I131" s="5">
        <v>258920057000000</v>
      </c>
      <c r="J131" s="5">
        <v>239958882000000</v>
      </c>
      <c r="K131" s="5">
        <v>219723216000000</v>
      </c>
      <c r="L131" s="5">
        <v>198132066000000</v>
      </c>
      <c r="M131" s="5">
        <v>177067556000000</v>
      </c>
      <c r="N131" s="5">
        <v>158298441000000</v>
      </c>
      <c r="O131" s="5">
        <v>153158544000000</v>
      </c>
      <c r="P131" s="5">
        <v>133871809000000</v>
      </c>
      <c r="Q131" s="5">
        <v>114534370000000</v>
      </c>
      <c r="R131" s="5">
        <v>97245285000000</v>
      </c>
      <c r="S131" s="5">
        <v>80917357000000</v>
      </c>
      <c r="T131" s="5">
        <v>69419160000000</v>
      </c>
      <c r="U131" s="5">
        <v>56157717000000</v>
      </c>
      <c r="V131" s="5">
        <v>44881084000000</v>
      </c>
      <c r="W131" s="5">
        <v>36036973000000</v>
      </c>
      <c r="X131" s="5">
        <v>28067912000000</v>
      </c>
      <c r="Y131" s="5">
        <v>22195247000000</v>
      </c>
      <c r="Z131" s="5">
        <v>17946356000000</v>
      </c>
    </row>
    <row r="132" spans="2:26" ht="15.5" x14ac:dyDescent="0.35">
      <c r="C132" t="s">
        <v>135</v>
      </c>
      <c r="D132" s="5">
        <v>243344859000000</v>
      </c>
      <c r="E132" s="5">
        <v>263188960000000</v>
      </c>
      <c r="F132" s="5">
        <v>256311865000000</v>
      </c>
      <c r="G132" s="5">
        <v>241883194000000</v>
      </c>
      <c r="I132" s="5">
        <v>263188960000000</v>
      </c>
      <c r="J132" s="5">
        <v>243679422000000</v>
      </c>
      <c r="K132" s="5">
        <v>222957365000000</v>
      </c>
      <c r="L132" s="5">
        <v>200958858000000</v>
      </c>
      <c r="M132" s="5">
        <v>179580121000000</v>
      </c>
      <c r="N132" s="5">
        <v>160539695000000</v>
      </c>
      <c r="O132" s="5">
        <v>155114148000000</v>
      </c>
      <c r="P132" s="5">
        <v>135568861000000</v>
      </c>
      <c r="Q132" s="5">
        <v>115998322000000</v>
      </c>
      <c r="R132" s="5">
        <v>98503180000000</v>
      </c>
      <c r="S132" s="5">
        <v>81995065000000</v>
      </c>
      <c r="T132" s="5">
        <v>70332010000000</v>
      </c>
      <c r="U132" s="5">
        <v>56928028000000</v>
      </c>
      <c r="V132" s="5">
        <v>45534178000000</v>
      </c>
      <c r="W132" s="5">
        <v>36581874000000</v>
      </c>
      <c r="X132" s="5">
        <v>28528020000000</v>
      </c>
      <c r="Y132" s="5">
        <v>22587283000000</v>
      </c>
      <c r="Z132" s="5">
        <v>18338392000000</v>
      </c>
    </row>
    <row r="133" spans="2:26" ht="15.5" x14ac:dyDescent="0.35">
      <c r="C133" t="s">
        <v>136</v>
      </c>
      <c r="D133" s="5">
        <v>226386000000</v>
      </c>
      <c r="E133" s="5">
        <v>221077000000</v>
      </c>
      <c r="F133" s="5">
        <v>219748000000</v>
      </c>
      <c r="G133" s="5">
        <v>205368000000</v>
      </c>
      <c r="I133" s="5">
        <v>221077000000</v>
      </c>
      <c r="J133" s="5">
        <v>194466000000</v>
      </c>
      <c r="K133" s="5">
        <v>181337000000</v>
      </c>
      <c r="L133" s="5">
        <v>163049000000</v>
      </c>
      <c r="M133" s="5">
        <v>136172000000</v>
      </c>
      <c r="N133" s="5">
        <v>118383000000</v>
      </c>
      <c r="O133" s="5">
        <v>100225000000</v>
      </c>
      <c r="P133" s="5">
        <v>93743000000</v>
      </c>
      <c r="Q133" s="5">
        <v>98139000000</v>
      </c>
      <c r="R133" s="5">
        <v>281982000000</v>
      </c>
      <c r="S133" s="5">
        <v>255519000000</v>
      </c>
      <c r="T133" s="5">
        <v>237531000000</v>
      </c>
      <c r="U133" s="5">
        <v>101075000000</v>
      </c>
      <c r="V133" s="5">
        <v>71167000000</v>
      </c>
      <c r="W133" s="5">
        <v>24424000000</v>
      </c>
    </row>
    <row r="134" spans="2:26" ht="15.5" x14ac:dyDescent="0.35">
      <c r="C134" t="s">
        <v>8</v>
      </c>
      <c r="D134" s="5">
        <v>259358793000000</v>
      </c>
      <c r="E134" s="5">
        <v>281687555000000</v>
      </c>
      <c r="F134" s="5">
        <v>276635408000000</v>
      </c>
      <c r="G134" s="5">
        <v>261800906000000</v>
      </c>
      <c r="I134" s="5">
        <v>281687555000000</v>
      </c>
      <c r="J134" s="5">
        <v>262835087000000</v>
      </c>
      <c r="K134" s="5">
        <v>242537593000000</v>
      </c>
      <c r="L134" s="5">
        <v>221181655000000</v>
      </c>
      <c r="M134" s="5">
        <v>202848934000000</v>
      </c>
      <c r="N134" s="5">
        <v>184714709000000</v>
      </c>
      <c r="O134" s="5">
        <v>174143156000000</v>
      </c>
      <c r="P134" s="5">
        <v>151753427000000</v>
      </c>
      <c r="Q134" s="5">
        <v>131401694000000</v>
      </c>
      <c r="R134" s="5">
        <v>112715059000000</v>
      </c>
      <c r="S134" s="5">
        <v>89624940000000</v>
      </c>
      <c r="T134" s="5">
        <v>77920617000000</v>
      </c>
      <c r="U134" s="5">
        <v>63966678000000</v>
      </c>
      <c r="V134" s="5">
        <v>51897942000000</v>
      </c>
      <c r="W134" s="5">
        <v>42027340000000</v>
      </c>
      <c r="X134" s="5">
        <v>34107844000000</v>
      </c>
      <c r="Y134" s="5">
        <v>27856693000000</v>
      </c>
      <c r="Z134" s="5">
        <v>23279310000000</v>
      </c>
    </row>
    <row r="135" spans="2:26" ht="15.5" x14ac:dyDescent="0.35">
      <c r="C135" t="s">
        <v>137</v>
      </c>
      <c r="D135" s="5">
        <v>1640830566000000</v>
      </c>
      <c r="E135" s="5">
        <v>1586828536000000</v>
      </c>
      <c r="F135" s="5">
        <v>1538501812000000</v>
      </c>
      <c r="G135" s="5">
        <v>1504118975000000</v>
      </c>
      <c r="I135" s="5">
        <v>1586828536000000</v>
      </c>
      <c r="J135" s="5">
        <v>1449301328000000</v>
      </c>
      <c r="K135" s="5">
        <v>1408107010000000</v>
      </c>
      <c r="L135" s="5">
        <v>1314731674000000</v>
      </c>
      <c r="M135" s="5">
        <v>1228344680000000</v>
      </c>
      <c r="N135" s="5">
        <v>1075570256000000</v>
      </c>
      <c r="O135" s="5">
        <v>918989312000000</v>
      </c>
      <c r="P135" s="5">
        <v>824787944000000</v>
      </c>
      <c r="Q135" s="5">
        <v>750319671000000</v>
      </c>
      <c r="R135" s="5">
        <v>676738753000000</v>
      </c>
      <c r="S135" s="5">
        <v>594372770000000</v>
      </c>
      <c r="T135" s="5">
        <v>552423892000000</v>
      </c>
      <c r="U135" s="5">
        <v>496304573000000</v>
      </c>
      <c r="V135" s="5">
        <v>442994197000000</v>
      </c>
      <c r="W135" s="5">
        <v>381908353000000</v>
      </c>
      <c r="X135" s="5">
        <v>324419069000000</v>
      </c>
      <c r="Y135" s="5">
        <v>282392294000000</v>
      </c>
      <c r="Z135" s="5">
        <v>245569856000000</v>
      </c>
    </row>
    <row r="136" spans="2:26" ht="15.5" x14ac:dyDescent="0.35">
      <c r="C136" t="s">
        <v>138</v>
      </c>
      <c r="D136" s="5">
        <v>123275050000</v>
      </c>
      <c r="E136" s="5">
        <v>123275050000</v>
      </c>
      <c r="F136" s="5">
        <v>123275050000</v>
      </c>
      <c r="G136" s="5">
        <v>123275050000</v>
      </c>
      <c r="I136" s="5">
        <v>123275050000</v>
      </c>
      <c r="J136" s="5">
        <v>123275050000</v>
      </c>
      <c r="K136" s="5">
        <v>123275050000</v>
      </c>
      <c r="L136" s="5">
        <v>123275050000</v>
      </c>
      <c r="M136" s="5">
        <v>123275050000</v>
      </c>
      <c r="N136" s="5">
        <v>24655010000</v>
      </c>
      <c r="O136" s="5">
        <v>24655010000</v>
      </c>
      <c r="P136" s="5">
        <v>24655010000</v>
      </c>
      <c r="Q136" s="5">
        <v>24655010000</v>
      </c>
      <c r="R136" s="5">
        <v>24655010000</v>
      </c>
      <c r="S136" s="5">
        <v>24655010000</v>
      </c>
      <c r="T136" s="5">
        <v>24655010000</v>
      </c>
      <c r="U136" s="5">
        <v>24655010000</v>
      </c>
      <c r="V136" s="5">
        <v>24655010000</v>
      </c>
      <c r="W136" s="5">
        <v>24655010000</v>
      </c>
      <c r="X136" s="5">
        <v>24655010000</v>
      </c>
      <c r="Y136" s="5">
        <v>24655010000</v>
      </c>
      <c r="Z136" s="5">
        <v>24655010000</v>
      </c>
    </row>
    <row r="138" spans="2:26" ht="15.5" x14ac:dyDescent="0.35">
      <c r="B138" t="s">
        <v>139</v>
      </c>
      <c r="C138" t="s">
        <v>140</v>
      </c>
      <c r="D138" s="5">
        <v>47920728000000</v>
      </c>
      <c r="E138" s="5">
        <v>11576805000000</v>
      </c>
      <c r="F138" s="5">
        <v>25008762000000</v>
      </c>
      <c r="G138" s="5">
        <v>5739867000000</v>
      </c>
      <c r="I138" s="5">
        <v>77508785000000</v>
      </c>
      <c r="J138" s="5">
        <v>53820229000000</v>
      </c>
      <c r="K138" s="5">
        <v>58115466000000</v>
      </c>
      <c r="L138" s="5">
        <v>33779263000000</v>
      </c>
      <c r="M138" s="5">
        <v>126186318000000</v>
      </c>
      <c r="N138" s="5">
        <v>50978875000000</v>
      </c>
      <c r="O138" s="5">
        <v>51942040000000</v>
      </c>
      <c r="P138" s="5">
        <v>4912562000000</v>
      </c>
      <c r="Q138" s="5">
        <v>9658627000000</v>
      </c>
      <c r="R138" s="5">
        <v>45667484000000</v>
      </c>
      <c r="S138" s="5">
        <v>29459026000000</v>
      </c>
      <c r="T138" s="5">
        <v>35136527000000</v>
      </c>
      <c r="U138" s="5">
        <v>-4189827000000</v>
      </c>
      <c r="V138" s="5">
        <v>27715044000000</v>
      </c>
      <c r="W138" s="5">
        <v>-37228553000000</v>
      </c>
      <c r="X138" s="5">
        <v>2711962000000</v>
      </c>
      <c r="Y138" s="5">
        <v>-18660401000000</v>
      </c>
      <c r="Z138" s="5">
        <v>-1743764000000</v>
      </c>
    </row>
    <row r="139" spans="2:26" ht="15.5" x14ac:dyDescent="0.35">
      <c r="C139" t="s">
        <v>478</v>
      </c>
      <c r="D139" s="5">
        <v>30666530000000</v>
      </c>
      <c r="E139" s="5">
        <v>29372301000000</v>
      </c>
      <c r="F139" s="5">
        <v>30350342000000</v>
      </c>
      <c r="G139" s="5">
        <v>28155939000000</v>
      </c>
      <c r="I139" s="5">
        <v>116653110000000</v>
      </c>
      <c r="J139" s="5">
        <v>110947606000000</v>
      </c>
      <c r="K139" s="5">
        <v>106414649000000</v>
      </c>
      <c r="L139" s="5">
        <v>89720816000000</v>
      </c>
      <c r="M139" s="5">
        <v>87630904000000</v>
      </c>
      <c r="N139" s="5">
        <v>78589390000000</v>
      </c>
      <c r="O139" s="5">
        <v>76539139000000</v>
      </c>
      <c r="P139" s="5">
        <v>67188173000000</v>
      </c>
      <c r="Q139" s="5">
        <v>62896141000000</v>
      </c>
      <c r="R139" s="5">
        <v>57248921000000</v>
      </c>
      <c r="S139" s="5">
        <v>54590864000000</v>
      </c>
      <c r="T139" s="5">
        <v>50279319000000</v>
      </c>
      <c r="U139" s="5">
        <v>40463212000000</v>
      </c>
      <c r="V139" s="5">
        <v>34231828000000</v>
      </c>
      <c r="W139" s="5">
        <v>24204371000000</v>
      </c>
      <c r="X139" s="5">
        <v>20412733000000</v>
      </c>
      <c r="Y139" s="5">
        <v>19127371000000</v>
      </c>
      <c r="Z139" s="5">
        <v>16915774000000</v>
      </c>
    </row>
    <row r="140" spans="2:26" ht="15.5" x14ac:dyDescent="0.35">
      <c r="C140" t="s">
        <v>441</v>
      </c>
      <c r="D140" s="5">
        <v>1026079000000</v>
      </c>
      <c r="E140" s="5">
        <v>-1515879000000</v>
      </c>
      <c r="F140" s="5">
        <v>1354314000000</v>
      </c>
      <c r="G140" s="5">
        <v>1352271000000</v>
      </c>
      <c r="I140" s="5">
        <v>3155605000000</v>
      </c>
      <c r="J140" s="5">
        <v>6141705000000</v>
      </c>
      <c r="K140" s="5">
        <v>6355896000000</v>
      </c>
      <c r="L140" s="5">
        <v>5595626000000</v>
      </c>
      <c r="M140" s="5">
        <v>4787096000000</v>
      </c>
      <c r="N140" s="5">
        <v>3438074000000</v>
      </c>
      <c r="O140" s="5">
        <v>4019391000000</v>
      </c>
      <c r="P140" s="5">
        <v>3105023000000</v>
      </c>
      <c r="Q140" s="5">
        <v>2554654000000</v>
      </c>
      <c r="R140" s="5">
        <v>2062231000000</v>
      </c>
      <c r="S140" s="5">
        <v>1532994000000</v>
      </c>
      <c r="T140" s="5">
        <v>1061919000000</v>
      </c>
      <c r="U140" s="5">
        <v>612641000000</v>
      </c>
      <c r="V140" s="5">
        <v>347117000000</v>
      </c>
      <c r="W140" s="5">
        <v>6247264000000</v>
      </c>
      <c r="X140" s="5">
        <v>7206932000000</v>
      </c>
      <c r="Y140" s="5">
        <v>3703399000000</v>
      </c>
      <c r="Z140" s="5">
        <v>3243649000000</v>
      </c>
    </row>
    <row r="141" spans="2:26" ht="15.5" x14ac:dyDescent="0.35">
      <c r="C141" t="s">
        <v>479</v>
      </c>
      <c r="D141" s="5">
        <v>-3438404000000</v>
      </c>
      <c r="E141" s="5">
        <v>-3321962000000</v>
      </c>
      <c r="F141" s="5">
        <v>-3316597000000</v>
      </c>
      <c r="G141" s="5">
        <v>-3501947000000</v>
      </c>
      <c r="I141" s="5">
        <v>-13394155000000</v>
      </c>
      <c r="J141" s="5">
        <v>-12578014000000</v>
      </c>
      <c r="K141" s="5">
        <v>-12184461000000</v>
      </c>
      <c r="L141" s="5">
        <v>-8372338000000</v>
      </c>
      <c r="M141" s="5">
        <v>-9606910000000</v>
      </c>
      <c r="N141" s="5">
        <v>-11422371000000</v>
      </c>
      <c r="O141" s="5">
        <v>-13523795000000</v>
      </c>
      <c r="P141" s="5">
        <v>-11364783000000</v>
      </c>
      <c r="Q141" s="5">
        <v>-11900029000000</v>
      </c>
      <c r="R141" s="5">
        <v>-10313905000000</v>
      </c>
      <c r="S141" s="5">
        <v>-11320613000000</v>
      </c>
      <c r="T141" s="5">
        <v>-11653738000000</v>
      </c>
      <c r="U141" s="5">
        <v>-7790809000000</v>
      </c>
      <c r="V141" s="5">
        <v>-7692146000000</v>
      </c>
      <c r="W141" s="5">
        <v>-7696113000000</v>
      </c>
      <c r="X141" s="5">
        <v>-7715163000000</v>
      </c>
      <c r="Y141" s="5">
        <v>-8016223000000</v>
      </c>
      <c r="Z141" s="5">
        <v>-6937316000000</v>
      </c>
    </row>
    <row r="142" spans="2:26" ht="15.5" x14ac:dyDescent="0.35">
      <c r="C142" t="s">
        <v>480</v>
      </c>
      <c r="E142" s="5">
        <v>-1552406000000</v>
      </c>
      <c r="I142" s="5">
        <v>-1552406000000</v>
      </c>
      <c r="J142" s="5">
        <v>-1165422000000</v>
      </c>
      <c r="K142" s="5">
        <v>-369720000000</v>
      </c>
      <c r="L142" s="5">
        <v>-362848000000</v>
      </c>
      <c r="M142" s="5">
        <v>-2020877000000</v>
      </c>
      <c r="N142" s="5">
        <v>-1031589000000</v>
      </c>
      <c r="O142" s="5">
        <v>-239230000000</v>
      </c>
      <c r="P142" s="5">
        <v>-675161000000</v>
      </c>
      <c r="Q142" s="5">
        <v>-1488730000000</v>
      </c>
      <c r="R142" s="5">
        <v>-1510616000000</v>
      </c>
      <c r="S142" s="5">
        <v>-1427104000000</v>
      </c>
      <c r="T142" s="5">
        <v>-1084181000000</v>
      </c>
      <c r="U142" s="5">
        <v>-234193000000</v>
      </c>
      <c r="V142" s="5">
        <v>-228178000000</v>
      </c>
    </row>
    <row r="143" spans="2:26" ht="15.5" x14ac:dyDescent="0.35">
      <c r="C143" t="s">
        <v>481</v>
      </c>
      <c r="E143" s="5">
        <v>-1852532000000</v>
      </c>
      <c r="F143" s="5">
        <v>1477424000000</v>
      </c>
      <c r="G143" s="5">
        <v>-969777000000</v>
      </c>
      <c r="J143" s="5">
        <v>3024747000000</v>
      </c>
      <c r="K143" s="5">
        <v>-465294000000</v>
      </c>
      <c r="L143" s="5">
        <v>3083584000000</v>
      </c>
      <c r="M143" s="5">
        <v>1488981000000</v>
      </c>
      <c r="N143" s="5">
        <v>106142000000</v>
      </c>
      <c r="O143" s="5">
        <v>1864822000000</v>
      </c>
      <c r="P143" s="5">
        <v>-402658000000</v>
      </c>
      <c r="Q143" s="5">
        <v>200959000000</v>
      </c>
      <c r="R143" s="5">
        <v>1763810000000</v>
      </c>
      <c r="S143" s="5">
        <v>2405144000000</v>
      </c>
      <c r="T143" s="5">
        <v>-813189000000</v>
      </c>
      <c r="U143" s="5">
        <v>-11224484000000</v>
      </c>
      <c r="V143" s="5">
        <v>-1557056000000</v>
      </c>
      <c r="W143" s="5">
        <v>1002669000000</v>
      </c>
      <c r="X143" s="5">
        <v>1984543000000</v>
      </c>
      <c r="Y143" s="5">
        <v>7492116000000</v>
      </c>
      <c r="Z143" s="5">
        <v>-4995685000000</v>
      </c>
    </row>
    <row r="144" spans="2:26" ht="15.5" x14ac:dyDescent="0.35">
      <c r="C144" t="s">
        <v>449</v>
      </c>
      <c r="D144" s="5">
        <v>-7247607000000</v>
      </c>
      <c r="E144" s="5">
        <v>-4163020000000</v>
      </c>
      <c r="F144" s="5">
        <v>-11648164000000</v>
      </c>
      <c r="G144" s="5">
        <v>-10680286000000</v>
      </c>
      <c r="I144" s="5">
        <v>-33351462000000</v>
      </c>
      <c r="J144" s="5">
        <v>-36985821000000</v>
      </c>
      <c r="K144" s="5">
        <v>-35130988000000</v>
      </c>
      <c r="L144" s="5">
        <v>-29944225000000</v>
      </c>
      <c r="M144" s="5">
        <v>-27304565000000</v>
      </c>
      <c r="N144" s="5">
        <v>-26021802000000</v>
      </c>
      <c r="O144" s="5">
        <v>-27088835000000</v>
      </c>
      <c r="P144" s="5">
        <v>-24574455000000</v>
      </c>
      <c r="Q144" s="5">
        <v>-22390235000000</v>
      </c>
      <c r="R144" s="5">
        <v>-20631629000000</v>
      </c>
      <c r="S144" s="5">
        <v>-19160735000000</v>
      </c>
      <c r="T144" s="5">
        <v>-15724334000000</v>
      </c>
      <c r="U144" s="5">
        <v>-12749715000000</v>
      </c>
      <c r="V144" s="5">
        <v>-11238594000000</v>
      </c>
      <c r="W144" s="5">
        <v>-10046471000000</v>
      </c>
      <c r="X144" s="5">
        <v>-8855748000000</v>
      </c>
      <c r="Y144" s="5">
        <v>-8008750000000</v>
      </c>
      <c r="Z144" s="5">
        <v>-6730833000000</v>
      </c>
    </row>
    <row r="145" spans="3:26" ht="15.5" x14ac:dyDescent="0.35">
      <c r="C145" t="s">
        <v>482</v>
      </c>
      <c r="T145" s="5">
        <v>231491000000</v>
      </c>
      <c r="U145" s="5">
        <v>75980000000</v>
      </c>
      <c r="V145" s="5">
        <v>190522000000</v>
      </c>
      <c r="W145" s="5">
        <v>229417000000</v>
      </c>
      <c r="X145" s="5">
        <v>167076000000</v>
      </c>
      <c r="Y145" s="5">
        <v>417023000000</v>
      </c>
      <c r="Z145" s="5">
        <v>48949000000</v>
      </c>
    </row>
    <row r="146" spans="3:26" ht="15.5" x14ac:dyDescent="0.35">
      <c r="C146" t="s">
        <v>145</v>
      </c>
      <c r="D146" s="5">
        <v>-3938322000000</v>
      </c>
      <c r="E146" s="5">
        <v>-3423857000000</v>
      </c>
      <c r="F146" s="5">
        <v>-3596708000000</v>
      </c>
      <c r="G146" s="5">
        <v>-3350974000000</v>
      </c>
      <c r="I146" s="5">
        <v>-12512383000000</v>
      </c>
      <c r="J146" s="5">
        <v>-12282274000000</v>
      </c>
      <c r="K146" s="5">
        <v>-11869562000000</v>
      </c>
      <c r="L146" s="5">
        <v>-10107569000000</v>
      </c>
      <c r="M146" s="5">
        <v>-8525496000000</v>
      </c>
      <c r="N146" s="5">
        <v>-6932987000000</v>
      </c>
      <c r="O146" s="5">
        <v>-7909355000000</v>
      </c>
      <c r="P146" s="5">
        <v>-6014149000000</v>
      </c>
      <c r="Q146" s="5">
        <v>-5778687000000</v>
      </c>
      <c r="R146" s="5">
        <v>-5681162000000</v>
      </c>
      <c r="S146" s="5">
        <v>-5022385000000</v>
      </c>
      <c r="T146" s="5">
        <v>-4573173000000</v>
      </c>
      <c r="U146" s="5">
        <v>-3913875000000</v>
      </c>
      <c r="V146" s="5">
        <v>-3084948000000</v>
      </c>
      <c r="W146" s="5">
        <v>-2751678000000</v>
      </c>
      <c r="X146" s="5">
        <v>-2037009000000</v>
      </c>
      <c r="Y146" s="5">
        <v>-2772529000000</v>
      </c>
      <c r="Z146" s="5">
        <v>-2251332000000</v>
      </c>
    </row>
    <row r="147" spans="3:26" ht="15.5" x14ac:dyDescent="0.35">
      <c r="C147" t="s">
        <v>483</v>
      </c>
      <c r="D147" s="5">
        <v>-932110000000</v>
      </c>
      <c r="I147" s="5">
        <v>-887700000000</v>
      </c>
      <c r="J147" s="5">
        <v>-765000000000</v>
      </c>
      <c r="K147" s="5">
        <v>-660000000000</v>
      </c>
      <c r="L147" s="5">
        <v>-493000000000</v>
      </c>
      <c r="M147" s="5">
        <v>-440390000000</v>
      </c>
      <c r="N147" s="5">
        <v>-445180000000</v>
      </c>
      <c r="O147" s="5">
        <v>-413500000000</v>
      </c>
      <c r="P147" s="5">
        <v>-354950000000</v>
      </c>
      <c r="Q147" s="5">
        <v>-308114000000</v>
      </c>
      <c r="R147" s="5">
        <v>-269600000000</v>
      </c>
      <c r="S147" s="5">
        <v>-247256000000</v>
      </c>
      <c r="T147" s="5">
        <v>-213762000000</v>
      </c>
      <c r="U147" s="5">
        <v>-175815000000</v>
      </c>
      <c r="V147" s="5">
        <v>-162261000000</v>
      </c>
      <c r="W147" s="5">
        <v>-105990000000</v>
      </c>
      <c r="X147" s="5">
        <v>-85085000000</v>
      </c>
    </row>
    <row r="148" spans="3:26" ht="15.5" x14ac:dyDescent="0.35">
      <c r="C148" t="s">
        <v>484</v>
      </c>
    </row>
    <row r="149" spans="3:26" ht="15.5" x14ac:dyDescent="0.35">
      <c r="C149" t="s">
        <v>485</v>
      </c>
      <c r="D149" s="5">
        <v>169400000000</v>
      </c>
      <c r="E149" s="5">
        <v>66861000000</v>
      </c>
      <c r="F149" s="5">
        <v>-231371000000</v>
      </c>
      <c r="G149" s="5">
        <v>-449144000000</v>
      </c>
      <c r="I149" s="5">
        <v>-599435000000</v>
      </c>
      <c r="J149" s="5">
        <v>696624000000</v>
      </c>
      <c r="K149" s="5">
        <v>417504000000</v>
      </c>
      <c r="L149" s="5">
        <v>9776116000000</v>
      </c>
      <c r="M149" s="5">
        <v>-5905153000000</v>
      </c>
      <c r="N149" s="5">
        <v>-3278195000000</v>
      </c>
      <c r="O149" s="5">
        <v>580463000000</v>
      </c>
      <c r="P149" s="5">
        <v>2975091000000</v>
      </c>
      <c r="Q149" s="5">
        <v>-549529000000</v>
      </c>
      <c r="R149" s="5">
        <v>-30300000000</v>
      </c>
      <c r="S149" s="5">
        <v>-22155000000</v>
      </c>
      <c r="T149" s="5">
        <v>3621000000</v>
      </c>
      <c r="U149" s="5">
        <v>1364963000000</v>
      </c>
      <c r="V149" s="5">
        <v>37283917000000</v>
      </c>
      <c r="W149" s="5">
        <v>-28840553000000</v>
      </c>
      <c r="X149" s="5">
        <v>-6988500000000</v>
      </c>
      <c r="Y149" s="5">
        <v>-333125000000</v>
      </c>
      <c r="Z149" s="5">
        <v>1433831000000</v>
      </c>
    </row>
    <row r="150" spans="3:26" ht="15.5" x14ac:dyDescent="0.35">
      <c r="C150" t="s">
        <v>486</v>
      </c>
      <c r="W150" s="5">
        <v>-316276000000</v>
      </c>
      <c r="X150" s="5">
        <v>-73674000000</v>
      </c>
      <c r="Y150" s="5">
        <v>-45916424000000</v>
      </c>
      <c r="Z150" s="5">
        <v>-268095000000</v>
      </c>
    </row>
    <row r="151" spans="3:26" ht="15.5" x14ac:dyDescent="0.35">
      <c r="C151" t="s">
        <v>487</v>
      </c>
      <c r="W151" s="5">
        <v>-138578000000</v>
      </c>
      <c r="X151" s="5">
        <v>-18577000000</v>
      </c>
      <c r="Y151" s="5">
        <v>147144000000</v>
      </c>
      <c r="Z151" s="5">
        <v>390002000000</v>
      </c>
    </row>
    <row r="152" spans="3:26" ht="15.5" x14ac:dyDescent="0.35">
      <c r="C152" t="s">
        <v>488</v>
      </c>
      <c r="D152" s="5">
        <v>4161880000000</v>
      </c>
      <c r="E152" s="5">
        <v>1620442000000</v>
      </c>
      <c r="F152" s="5">
        <v>-14010669000000</v>
      </c>
      <c r="G152" s="5">
        <v>3275257000000</v>
      </c>
      <c r="I152" s="5">
        <v>-11008328000000</v>
      </c>
      <c r="J152" s="5">
        <v>-5384422000000</v>
      </c>
      <c r="K152" s="5">
        <v>-12118168000000</v>
      </c>
      <c r="L152" s="5">
        <v>-209675000000</v>
      </c>
      <c r="M152" s="5">
        <v>887455000000</v>
      </c>
      <c r="N152" s="5">
        <v>2622554000000</v>
      </c>
      <c r="O152" s="5">
        <v>1242920000000</v>
      </c>
      <c r="P152" s="5">
        <v>1449674000000</v>
      </c>
      <c r="Q152" s="5">
        <v>-522860000000</v>
      </c>
      <c r="R152" s="5">
        <v>-3335070000000</v>
      </c>
      <c r="S152" s="5">
        <v>191547000000</v>
      </c>
      <c r="T152" s="5">
        <v>-315387000000</v>
      </c>
      <c r="U152" s="5">
        <v>282823000000</v>
      </c>
      <c r="V152" s="5">
        <v>1165555000000</v>
      </c>
    </row>
    <row r="153" spans="3:26" ht="15.5" x14ac:dyDescent="0.35">
      <c r="C153" t="s">
        <v>489</v>
      </c>
      <c r="D153" s="5">
        <v>1015028000000</v>
      </c>
      <c r="E153" s="5">
        <v>486044000000</v>
      </c>
      <c r="F153" s="5">
        <v>824415000000</v>
      </c>
      <c r="G153" s="5">
        <v>-788248000000</v>
      </c>
      <c r="I153" s="5">
        <v>366799000000</v>
      </c>
      <c r="J153" s="5">
        <v>4880997000000</v>
      </c>
      <c r="K153" s="5">
        <v>572359000000</v>
      </c>
      <c r="L153" s="5">
        <v>-4054784000000</v>
      </c>
      <c r="M153" s="5">
        <v>-2906339000000</v>
      </c>
      <c r="N153" s="5">
        <v>1115402000000</v>
      </c>
      <c r="O153" s="5">
        <v>2248758000000</v>
      </c>
      <c r="P153" s="5">
        <v>-1602067000000</v>
      </c>
      <c r="Q153" s="5">
        <v>-2970148000000</v>
      </c>
      <c r="R153" s="5">
        <v>454808000000</v>
      </c>
      <c r="S153" s="5">
        <v>164979000000</v>
      </c>
      <c r="T153" s="5">
        <v>-1441591000000</v>
      </c>
      <c r="U153" s="5">
        <v>1253079000000</v>
      </c>
      <c r="V153" s="5">
        <v>-2184483000000</v>
      </c>
      <c r="W153" s="5">
        <v>-135024000000</v>
      </c>
      <c r="X153" s="5">
        <v>-77817000000</v>
      </c>
      <c r="Y153" s="5">
        <v>-138565000000</v>
      </c>
      <c r="Z153" s="5">
        <v>-549930000000</v>
      </c>
    </row>
    <row r="154" spans="3:26" ht="15.5" x14ac:dyDescent="0.35">
      <c r="C154" t="s">
        <v>490</v>
      </c>
      <c r="D154" s="5">
        <v>1642392000000</v>
      </c>
      <c r="E154" s="5">
        <v>-3524901000000</v>
      </c>
      <c r="F154" s="5">
        <v>-3983126000000</v>
      </c>
      <c r="G154" s="5">
        <v>3228405000000</v>
      </c>
      <c r="I154" s="5">
        <v>-2929891000000</v>
      </c>
      <c r="J154" s="5">
        <v>1718437000000</v>
      </c>
      <c r="K154" s="5">
        <v>-4489425000000</v>
      </c>
      <c r="L154" s="5">
        <v>633297000000</v>
      </c>
      <c r="M154" s="5">
        <v>1766963000000</v>
      </c>
      <c r="N154" s="5">
        <v>30292000000</v>
      </c>
      <c r="O154" s="5">
        <v>523988000000</v>
      </c>
      <c r="P154" s="5">
        <v>-1760866000000</v>
      </c>
      <c r="Q154" s="5">
        <v>-2759868000000</v>
      </c>
      <c r="R154" s="5">
        <v>-1311522000000</v>
      </c>
      <c r="S154" s="5">
        <v>894179000000</v>
      </c>
      <c r="T154" s="5">
        <v>-550074000000</v>
      </c>
      <c r="U154" s="5">
        <v>-400825000000</v>
      </c>
      <c r="V154" s="5">
        <v>-605581000000</v>
      </c>
    </row>
    <row r="155" spans="3:26" ht="15.5" x14ac:dyDescent="0.35">
      <c r="C155" t="s">
        <v>491</v>
      </c>
      <c r="D155" s="5">
        <v>-16273823000000</v>
      </c>
      <c r="E155" s="5">
        <v>8185665000000</v>
      </c>
      <c r="F155" s="5">
        <v>-617922000000</v>
      </c>
      <c r="G155" s="5">
        <v>9570520000000</v>
      </c>
      <c r="I155" s="5">
        <v>-3835846000000</v>
      </c>
      <c r="J155" s="5">
        <v>91646548000000</v>
      </c>
      <c r="K155" s="5">
        <v>60869260000000</v>
      </c>
      <c r="L155" s="5">
        <v>-6900307000000</v>
      </c>
      <c r="M155" s="5">
        <v>-245707000000</v>
      </c>
      <c r="N155" s="5">
        <v>-137243099000000</v>
      </c>
      <c r="O155" s="5">
        <v>-118822000000</v>
      </c>
      <c r="P155" s="5">
        <v>48942000000</v>
      </c>
      <c r="Q155" s="5">
        <v>-6712029000000</v>
      </c>
      <c r="R155" s="5">
        <v>-2034498000000</v>
      </c>
      <c r="S155" s="5">
        <v>25774564000000</v>
      </c>
      <c r="T155" s="5">
        <v>14766508000000</v>
      </c>
      <c r="U155" s="5">
        <v>-6607636000000</v>
      </c>
      <c r="V155" s="5">
        <v>-13247371000000</v>
      </c>
      <c r="W155" s="5">
        <v>-18064828000000</v>
      </c>
      <c r="X155" s="5">
        <v>-2466999000000</v>
      </c>
      <c r="Y155" s="5">
        <v>-669336000000</v>
      </c>
    </row>
    <row r="156" spans="3:26" ht="15.5" x14ac:dyDescent="0.35">
      <c r="C156" t="s">
        <v>492</v>
      </c>
      <c r="D156" s="5">
        <v>-287574000000</v>
      </c>
      <c r="E156" s="5">
        <v>-51005831000000</v>
      </c>
      <c r="F156" s="5">
        <v>14246449000000</v>
      </c>
      <c r="G156" s="5">
        <v>-20492680000000</v>
      </c>
      <c r="I156" s="5">
        <v>-75158559000000</v>
      </c>
      <c r="J156" s="5">
        <v>-111218318000000</v>
      </c>
      <c r="K156" s="5">
        <v>-100405857000000</v>
      </c>
      <c r="L156" s="5">
        <v>-73189294000000</v>
      </c>
      <c r="M156" s="5">
        <v>-51043093000000</v>
      </c>
      <c r="N156" s="5">
        <v>9394072000000</v>
      </c>
      <c r="O156" s="5">
        <v>-52792003000000</v>
      </c>
      <c r="P156" s="5">
        <v>-71291269000000</v>
      </c>
      <c r="Q156" s="5">
        <v>-52854462000000</v>
      </c>
      <c r="R156" s="5">
        <v>-29288974000000</v>
      </c>
      <c r="S156" s="5">
        <v>-39703557000000</v>
      </c>
      <c r="T156" s="5">
        <v>-34315786000000</v>
      </c>
      <c r="U156" s="5">
        <v>-52130025000000</v>
      </c>
      <c r="V156" s="5">
        <v>-54132447000000</v>
      </c>
      <c r="W156" s="5">
        <v>-48707452000000</v>
      </c>
      <c r="X156" s="5">
        <v>-30768658000000</v>
      </c>
      <c r="Y156" s="5">
        <v>-12940868000000</v>
      </c>
      <c r="Z156" s="5">
        <v>-28914778000000</v>
      </c>
    </row>
    <row r="157" spans="3:26" ht="15.5" x14ac:dyDescent="0.35">
      <c r="C157" t="s">
        <v>493</v>
      </c>
      <c r="D157" s="5">
        <v>-500427000000</v>
      </c>
      <c r="E157" s="5">
        <v>199933000000</v>
      </c>
      <c r="F157" s="5">
        <v>-357975000000</v>
      </c>
      <c r="G157" s="5">
        <v>753549000000</v>
      </c>
      <c r="I157" s="5">
        <v>-163508000000</v>
      </c>
      <c r="J157" s="5">
        <v>-1075617000000</v>
      </c>
      <c r="K157" s="5">
        <v>-670970000000</v>
      </c>
      <c r="L157" s="5">
        <v>-222986000000</v>
      </c>
      <c r="M157" s="5">
        <v>-400472000000</v>
      </c>
      <c r="N157" s="5">
        <v>2327408000000</v>
      </c>
      <c r="O157" s="5">
        <v>-3316911000000</v>
      </c>
      <c r="P157" s="5">
        <v>606838000000</v>
      </c>
      <c r="Q157" s="5">
        <v>-635341000000</v>
      </c>
      <c r="R157" s="5">
        <v>-1066291000000</v>
      </c>
      <c r="S157" s="5">
        <v>-727630000000</v>
      </c>
      <c r="T157" s="5">
        <v>-94995000000</v>
      </c>
      <c r="U157" s="5">
        <v>-757831000000</v>
      </c>
      <c r="V157" s="5">
        <v>-1028276000000</v>
      </c>
      <c r="W157" s="5">
        <v>-532414000000</v>
      </c>
      <c r="X157" s="5">
        <v>-1069862000000</v>
      </c>
      <c r="Y157" s="5">
        <v>-501086000000</v>
      </c>
      <c r="Z157" s="5">
        <v>-69974000000</v>
      </c>
    </row>
    <row r="158" spans="3:26" ht="15.5" x14ac:dyDescent="0.35">
      <c r="C158" t="s">
        <v>494</v>
      </c>
      <c r="D158" s="5">
        <v>4019000000</v>
      </c>
      <c r="E158" s="5">
        <v>6061000000</v>
      </c>
      <c r="F158" s="5">
        <v>8888000000</v>
      </c>
      <c r="G158" s="5">
        <v>12140000000</v>
      </c>
      <c r="I158" s="5">
        <v>41223000000</v>
      </c>
      <c r="J158" s="5">
        <v>88851000000</v>
      </c>
      <c r="K158" s="5">
        <v>-17464000000</v>
      </c>
      <c r="L158" s="5">
        <v>-38002000000</v>
      </c>
      <c r="M158" s="5">
        <v>10292000000</v>
      </c>
      <c r="N158" s="5">
        <v>51267000000</v>
      </c>
      <c r="O158" s="5">
        <v>25193000000</v>
      </c>
      <c r="P158" s="5">
        <v>5446000000</v>
      </c>
      <c r="Q158" s="5">
        <v>-19526000000</v>
      </c>
      <c r="R158" s="5">
        <v>14322000000</v>
      </c>
      <c r="S158" s="5">
        <v>-8074000000</v>
      </c>
      <c r="T158" s="5">
        <v>16320000000</v>
      </c>
      <c r="U158" s="5">
        <v>-79241000000</v>
      </c>
      <c r="V158" s="5">
        <v>-95558000000</v>
      </c>
      <c r="W158" s="5">
        <v>-6729000000</v>
      </c>
      <c r="X158" s="5">
        <v>-2726000000</v>
      </c>
      <c r="Y158" s="5">
        <v>10551000000</v>
      </c>
      <c r="Z158" s="5">
        <v>16376000000</v>
      </c>
    </row>
    <row r="159" spans="3:26" ht="15.5" x14ac:dyDescent="0.35">
      <c r="C159" t="s">
        <v>495</v>
      </c>
      <c r="D159" s="5">
        <v>-97941000000</v>
      </c>
      <c r="E159" s="5">
        <v>-964299000000</v>
      </c>
      <c r="F159" s="5">
        <v>-987594000000</v>
      </c>
      <c r="G159" s="5">
        <v>-263697000000</v>
      </c>
      <c r="I159" s="5">
        <v>-2502671000000</v>
      </c>
      <c r="J159" s="5">
        <v>-1696820000000</v>
      </c>
      <c r="K159" s="5">
        <v>-1712883000000</v>
      </c>
      <c r="L159" s="5">
        <v>-1456064000000</v>
      </c>
      <c r="M159" s="5">
        <v>-840578000000</v>
      </c>
      <c r="N159" s="5">
        <v>-65298000000</v>
      </c>
      <c r="O159" s="5">
        <v>-854413000000</v>
      </c>
      <c r="P159" s="5">
        <v>-824972000000</v>
      </c>
      <c r="Q159" s="5">
        <v>-817728000000</v>
      </c>
      <c r="R159" s="5">
        <v>-562567000000</v>
      </c>
      <c r="S159" s="5">
        <v>-898909000000</v>
      </c>
      <c r="T159" s="5">
        <v>-744767000000</v>
      </c>
      <c r="U159" s="5">
        <v>-444778000000</v>
      </c>
      <c r="V159" s="5">
        <v>-366959000000</v>
      </c>
      <c r="W159" s="5">
        <v>-306969000000</v>
      </c>
      <c r="X159" s="5">
        <v>-446420000000</v>
      </c>
    </row>
    <row r="160" spans="3:26" ht="15.5" x14ac:dyDescent="0.35">
      <c r="C160" t="s">
        <v>496</v>
      </c>
      <c r="D160" s="5">
        <v>814944000000</v>
      </c>
      <c r="E160" s="5">
        <v>55210000000</v>
      </c>
      <c r="F160" s="5">
        <v>-1672783000000</v>
      </c>
      <c r="G160" s="5">
        <v>8597561000000</v>
      </c>
      <c r="I160" s="5">
        <v>-368424000000</v>
      </c>
      <c r="J160" s="5">
        <v>-138657000000</v>
      </c>
      <c r="K160" s="5">
        <v>-7521645000000</v>
      </c>
      <c r="L160" s="5">
        <v>-25785000000</v>
      </c>
      <c r="M160" s="5">
        <v>1059049000000</v>
      </c>
      <c r="N160" s="5">
        <v>-2568705000000</v>
      </c>
      <c r="O160" s="5">
        <v>1065298000000</v>
      </c>
      <c r="P160" s="5">
        <v>-3205118000000</v>
      </c>
      <c r="Q160" s="5">
        <v>-2500050000000</v>
      </c>
      <c r="R160" s="5">
        <v>818537000000</v>
      </c>
      <c r="S160" s="5">
        <v>-1537618000000</v>
      </c>
      <c r="T160" s="5">
        <v>-62881000000</v>
      </c>
      <c r="U160" s="5">
        <v>1251099000000</v>
      </c>
      <c r="V160" s="5">
        <v>-1454558000000</v>
      </c>
      <c r="W160" s="5">
        <v>-85273000000</v>
      </c>
      <c r="X160" s="5">
        <v>-18741000000</v>
      </c>
      <c r="Y160" s="5">
        <v>250397000000</v>
      </c>
      <c r="Z160" s="5">
        <v>573186000000</v>
      </c>
    </row>
    <row r="161" spans="3:26" ht="15.5" x14ac:dyDescent="0.35">
      <c r="C161" t="s">
        <v>467</v>
      </c>
      <c r="W161" s="5">
        <v>875736000000</v>
      </c>
      <c r="X161" s="5">
        <v>164367000000</v>
      </c>
      <c r="Y161" s="5">
        <v>-284287000000</v>
      </c>
      <c r="Z161" s="5">
        <v>205837000000</v>
      </c>
    </row>
    <row r="162" spans="3:26" ht="15.5" x14ac:dyDescent="0.35">
      <c r="C162" t="s">
        <v>497</v>
      </c>
      <c r="D162" s="5">
        <v>40913625000000</v>
      </c>
      <c r="E162" s="5">
        <v>43057362000000</v>
      </c>
      <c r="F162" s="5">
        <v>12526381000000</v>
      </c>
      <c r="G162" s="5">
        <v>-2424874000000</v>
      </c>
      <c r="I162" s="5">
        <v>110410053000000</v>
      </c>
      <c r="J162" s="5">
        <v>26690842000000</v>
      </c>
      <c r="K162" s="5">
        <v>61073381000000</v>
      </c>
      <c r="L162" s="5">
        <v>55348155000000</v>
      </c>
      <c r="M162" s="5">
        <v>133511934000000</v>
      </c>
      <c r="N162" s="5">
        <v>135030737000000</v>
      </c>
      <c r="O162" s="5">
        <v>70428018000000</v>
      </c>
      <c r="P162" s="5">
        <v>46025884000000</v>
      </c>
      <c r="Q162" s="5">
        <v>50981817000000</v>
      </c>
      <c r="R162" s="5">
        <v>56467413000000</v>
      </c>
      <c r="S162" s="5">
        <v>21477153000000</v>
      </c>
      <c r="T162" s="5">
        <v>39071373000000</v>
      </c>
      <c r="U162" s="5">
        <v>47110182000000</v>
      </c>
      <c r="V162" s="5">
        <v>48599248000000</v>
      </c>
      <c r="W162" s="5">
        <v>46070729000000</v>
      </c>
      <c r="X162" s="5">
        <v>31258163000000</v>
      </c>
      <c r="Y162" s="5">
        <v>31219015000000</v>
      </c>
      <c r="Z162" s="5">
        <v>23344452000000</v>
      </c>
    </row>
    <row r="163" spans="3:26" ht="15.5" x14ac:dyDescent="0.35">
      <c r="C163" t="s">
        <v>498</v>
      </c>
      <c r="D163" s="5">
        <v>303294000000</v>
      </c>
      <c r="E163" s="5">
        <v>1071045000000</v>
      </c>
      <c r="F163" s="5">
        <v>-511155000000</v>
      </c>
      <c r="G163" s="5">
        <v>486421000000</v>
      </c>
      <c r="I163" s="5">
        <v>1215478000000</v>
      </c>
      <c r="J163" s="5">
        <v>733393000000</v>
      </c>
      <c r="K163" s="5">
        <v>376110000000</v>
      </c>
      <c r="L163" s="5">
        <v>1205821000000</v>
      </c>
      <c r="M163" s="5">
        <v>468387000000</v>
      </c>
      <c r="N163" s="5">
        <v>116126000000</v>
      </c>
      <c r="O163" s="5">
        <v>414211000000</v>
      </c>
      <c r="P163" s="5">
        <v>142617000000</v>
      </c>
      <c r="Q163" s="5">
        <v>113943000000</v>
      </c>
      <c r="R163" s="5">
        <v>13088000000</v>
      </c>
      <c r="S163" s="5">
        <v>54835000000</v>
      </c>
      <c r="T163" s="5">
        <v>46686000000</v>
      </c>
      <c r="U163" s="5">
        <v>17333000000</v>
      </c>
      <c r="V163" s="5">
        <v>84185000000</v>
      </c>
      <c r="W163" s="5">
        <v>52019000000</v>
      </c>
      <c r="X163" s="5">
        <v>96608000000</v>
      </c>
    </row>
    <row r="164" spans="3:26" ht="15.5" x14ac:dyDescent="0.35">
      <c r="C164" t="s">
        <v>499</v>
      </c>
      <c r="D164" s="5">
        <v>295226000000</v>
      </c>
      <c r="E164" s="5">
        <v>-1498246000000</v>
      </c>
      <c r="F164" s="5">
        <v>2009781000000</v>
      </c>
      <c r="G164" s="5">
        <v>-648627000000</v>
      </c>
      <c r="I164" s="5">
        <v>255355000000</v>
      </c>
      <c r="J164" s="5">
        <v>-6480950000000</v>
      </c>
      <c r="K164" s="5">
        <v>2154145000000</v>
      </c>
      <c r="L164" s="5">
        <v>-2241366000000</v>
      </c>
      <c r="M164" s="5">
        <v>-206217000000</v>
      </c>
      <c r="N164" s="5">
        <v>3474062000000</v>
      </c>
      <c r="O164" s="5">
        <v>287817000000</v>
      </c>
      <c r="P164" s="5">
        <v>647637000000</v>
      </c>
      <c r="Q164" s="5">
        <v>857472000000</v>
      </c>
      <c r="R164" s="5">
        <v>744889000000</v>
      </c>
      <c r="S164" s="5">
        <v>266025000000</v>
      </c>
      <c r="T164" s="5">
        <v>473331000000</v>
      </c>
      <c r="U164" s="5">
        <v>1249964000000</v>
      </c>
      <c r="V164" s="5">
        <v>-1094414000000</v>
      </c>
      <c r="W164" s="5">
        <v>597409000000</v>
      </c>
      <c r="X164" s="5">
        <v>331512000000</v>
      </c>
      <c r="Y164" s="5">
        <v>-1849219000000</v>
      </c>
      <c r="Z164" s="5">
        <v>2413264000000</v>
      </c>
    </row>
    <row r="165" spans="3:26" ht="15.5" x14ac:dyDescent="0.35">
      <c r="C165" t="s">
        <v>500</v>
      </c>
      <c r="D165" s="5">
        <v>-358295000000</v>
      </c>
      <c r="E165" s="5">
        <v>-679929000000</v>
      </c>
      <c r="F165" s="5">
        <v>-42048000000</v>
      </c>
      <c r="G165" s="5">
        <v>584751000000</v>
      </c>
      <c r="I165" s="5">
        <v>81907000000</v>
      </c>
      <c r="J165" s="5">
        <v>-2049301000000</v>
      </c>
      <c r="K165" s="5">
        <v>-2965392000000</v>
      </c>
      <c r="L165" s="5">
        <v>3022354000000</v>
      </c>
      <c r="M165" s="5">
        <v>2244249000000</v>
      </c>
      <c r="N165" s="5">
        <v>-921204000000</v>
      </c>
      <c r="O165" s="5">
        <v>-522237000000</v>
      </c>
      <c r="P165" s="5">
        <v>43009000000</v>
      </c>
      <c r="Q165" s="5">
        <v>1613329000000</v>
      </c>
      <c r="R165" s="5">
        <v>-187791000000</v>
      </c>
      <c r="S165" s="5">
        <v>-323007000000</v>
      </c>
      <c r="T165" s="5">
        <v>158504000000</v>
      </c>
      <c r="U165" s="5">
        <v>-1300053000000</v>
      </c>
      <c r="V165" s="5">
        <v>1796174000000</v>
      </c>
    </row>
    <row r="166" spans="3:26" ht="15.5" x14ac:dyDescent="0.35">
      <c r="C166" t="s">
        <v>501</v>
      </c>
      <c r="D166" s="5">
        <v>-496021000000</v>
      </c>
      <c r="E166" s="5">
        <v>759018000000</v>
      </c>
      <c r="F166" s="5">
        <v>2415686000000</v>
      </c>
      <c r="G166" s="5">
        <v>-6728959000000</v>
      </c>
      <c r="I166" s="5">
        <v>2448145000000</v>
      </c>
      <c r="J166" s="5">
        <v>-2098166000000</v>
      </c>
      <c r="K166" s="5">
        <v>9010494000000</v>
      </c>
      <c r="L166" s="5">
        <v>2293350000000</v>
      </c>
      <c r="M166" s="5">
        <v>1372445000000</v>
      </c>
      <c r="N166" s="5">
        <v>4075180000000</v>
      </c>
      <c r="O166" s="5">
        <v>-702168000000</v>
      </c>
      <c r="P166" s="5">
        <v>4126653000000</v>
      </c>
      <c r="Q166" s="5">
        <v>2136940000000</v>
      </c>
      <c r="R166" s="5">
        <v>1638789000000</v>
      </c>
      <c r="S166" s="5">
        <v>1655877000000</v>
      </c>
      <c r="T166" s="5">
        <v>106717000000</v>
      </c>
      <c r="U166" s="5">
        <v>-476714000000</v>
      </c>
      <c r="V166" s="5">
        <v>1875824000000</v>
      </c>
    </row>
    <row r="167" spans="3:26" ht="15.5" x14ac:dyDescent="0.35">
      <c r="C167" t="s">
        <v>477</v>
      </c>
      <c r="D167" s="5">
        <v>478835000000</v>
      </c>
      <c r="E167" s="5">
        <v>199725000000</v>
      </c>
      <c r="F167" s="5">
        <v>771194000000</v>
      </c>
      <c r="G167" s="5">
        <v>22266000000</v>
      </c>
      <c r="I167" s="5">
        <v>1145878000000</v>
      </c>
      <c r="J167" s="5">
        <v>1169261000000</v>
      </c>
      <c r="K167" s="5">
        <v>1453497000000</v>
      </c>
      <c r="L167" s="5">
        <v>718387000000</v>
      </c>
      <c r="M167" s="5">
        <v>404360000000</v>
      </c>
      <c r="N167" s="5">
        <v>538599000000</v>
      </c>
      <c r="O167" s="5">
        <v>183291000000</v>
      </c>
      <c r="P167" s="5">
        <v>618023000000</v>
      </c>
      <c r="Q167" s="5">
        <v>510708000000</v>
      </c>
      <c r="R167" s="5">
        <v>664601000000</v>
      </c>
      <c r="S167" s="5">
        <v>849908000000</v>
      </c>
      <c r="T167" s="5">
        <v>508596000000</v>
      </c>
      <c r="U167" s="5">
        <v>414891000000</v>
      </c>
      <c r="V167" s="5">
        <v>313504000000</v>
      </c>
      <c r="W167" s="5">
        <v>255343000000</v>
      </c>
      <c r="X167" s="5">
        <v>460165000000</v>
      </c>
    </row>
    <row r="168" spans="3:26" ht="15.5" x14ac:dyDescent="0.35">
      <c r="C168" t="s">
        <v>502</v>
      </c>
      <c r="W168" s="5">
        <v>362228000000</v>
      </c>
      <c r="X168" s="5">
        <v>720458000000</v>
      </c>
      <c r="Y168" s="5">
        <v>-109795000000</v>
      </c>
      <c r="Z168" s="5">
        <v>3960000000</v>
      </c>
    </row>
    <row r="169" spans="3:26" ht="15.5" x14ac:dyDescent="0.35">
      <c r="C169" t="s">
        <v>503</v>
      </c>
      <c r="Y169" s="5">
        <v>-49892000000</v>
      </c>
      <c r="Z169" s="5">
        <v>49892000000</v>
      </c>
    </row>
    <row r="170" spans="3:26" ht="15.5" x14ac:dyDescent="0.35">
      <c r="C170" t="s">
        <v>504</v>
      </c>
    </row>
    <row r="171" spans="3:26" ht="15.5" x14ac:dyDescent="0.35">
      <c r="C171" t="s">
        <v>505</v>
      </c>
      <c r="W171" s="5">
        <v>608610000000</v>
      </c>
      <c r="X171" s="5">
        <v>534384000000</v>
      </c>
      <c r="Y171" s="5">
        <v>562682000000</v>
      </c>
      <c r="Z171" s="5">
        <v>335007000000</v>
      </c>
    </row>
    <row r="172" spans="3:26" ht="15.5" x14ac:dyDescent="0.35">
      <c r="C172" t="s">
        <v>506</v>
      </c>
      <c r="D172" s="5">
        <v>31784562000000</v>
      </c>
      <c r="E172" s="5">
        <v>-1965840000000</v>
      </c>
      <c r="F172" s="5">
        <v>10388151000000</v>
      </c>
      <c r="G172" s="5">
        <v>-5265359000000</v>
      </c>
      <c r="I172" s="5">
        <v>19398176000000</v>
      </c>
      <c r="J172" s="5">
        <v>-2517298000000</v>
      </c>
      <c r="K172" s="5">
        <v>6024946000000</v>
      </c>
      <c r="L172" s="5">
        <v>-15340783000000</v>
      </c>
      <c r="M172" s="5">
        <v>80177575000000</v>
      </c>
      <c r="N172" s="5">
        <v>14699198000000</v>
      </c>
      <c r="O172" s="5">
        <v>18693403000000</v>
      </c>
      <c r="P172" s="5">
        <v>-21994478000000</v>
      </c>
      <c r="Q172" s="5">
        <v>-14127332000000</v>
      </c>
      <c r="R172" s="5">
        <v>22999434000000</v>
      </c>
      <c r="S172" s="5">
        <v>8108117000000</v>
      </c>
      <c r="T172" s="5">
        <v>17626175000000</v>
      </c>
      <c r="U172" s="5">
        <v>-9252769000000</v>
      </c>
      <c r="V172" s="5">
        <v>16908760000000</v>
      </c>
      <c r="W172" s="5">
        <v>-48312022000000</v>
      </c>
      <c r="X172" s="5">
        <v>-8366317000000</v>
      </c>
      <c r="Y172" s="5">
        <v>-30602808000000</v>
      </c>
      <c r="Z172" s="5">
        <v>-1036970000000</v>
      </c>
    </row>
    <row r="173" spans="3:26" ht="15.5" x14ac:dyDescent="0.35">
      <c r="C173" t="s">
        <v>152</v>
      </c>
      <c r="D173" s="5">
        <v>-1072636000000</v>
      </c>
      <c r="E173" s="5">
        <v>-9012693000000</v>
      </c>
      <c r="F173" s="5">
        <v>386601000000</v>
      </c>
      <c r="G173" s="5">
        <v>-33080365000000</v>
      </c>
      <c r="I173" s="5">
        <v>-41708637000000</v>
      </c>
      <c r="J173" s="5">
        <v>-33328689000000</v>
      </c>
      <c r="K173" s="5">
        <v>-25070681000000</v>
      </c>
      <c r="L173" s="5">
        <v>-19116216000000</v>
      </c>
      <c r="M173" s="5">
        <v>-14098229000000</v>
      </c>
      <c r="N173" s="5">
        <v>-15553268000000</v>
      </c>
      <c r="O173" s="5">
        <v>-7334896000000</v>
      </c>
      <c r="P173" s="5">
        <v>-7297649000000</v>
      </c>
      <c r="Q173" s="5">
        <v>-6655698000000</v>
      </c>
      <c r="R173" s="5">
        <v>-3662059000000</v>
      </c>
      <c r="S173" s="5">
        <v>-4754155000000</v>
      </c>
      <c r="T173" s="5">
        <v>-2743308000000</v>
      </c>
      <c r="U173" s="5">
        <v>83951000000</v>
      </c>
      <c r="V173" s="5">
        <v>-1300874000000</v>
      </c>
      <c r="W173" s="5">
        <v>-2773338000000</v>
      </c>
      <c r="X173" s="5">
        <v>-3022702000000</v>
      </c>
      <c r="Y173" s="5">
        <v>-3201329000000</v>
      </c>
      <c r="Z173" s="5">
        <v>-2858995000000</v>
      </c>
    </row>
    <row r="174" spans="3:26" ht="15.5" x14ac:dyDescent="0.35">
      <c r="C174" t="s">
        <v>153</v>
      </c>
      <c r="D174" s="5">
        <v>-16987375000000</v>
      </c>
      <c r="E174" s="5">
        <v>-15230835000000</v>
      </c>
      <c r="F174" s="5">
        <v>-31536635000000</v>
      </c>
      <c r="G174" s="5">
        <v>17377349000000</v>
      </c>
      <c r="I174" s="5">
        <v>-33690926000000</v>
      </c>
      <c r="J174" s="5">
        <v>-58948506000000</v>
      </c>
      <c r="K174" s="5">
        <v>-69796749000000</v>
      </c>
      <c r="L174" s="5">
        <v>-32382986000000</v>
      </c>
      <c r="M174" s="5">
        <v>-41247858000000</v>
      </c>
      <c r="N174" s="5">
        <v>-44117844000000</v>
      </c>
      <c r="O174" s="5">
        <v>-34732414000000</v>
      </c>
      <c r="P174" s="5">
        <v>20627654000000</v>
      </c>
      <c r="Q174" s="5">
        <v>-20620020000000</v>
      </c>
      <c r="R174" s="5">
        <v>-60596377000000</v>
      </c>
      <c r="S174" s="5">
        <v>18935842000000</v>
      </c>
      <c r="T174" s="5">
        <v>-25053743000000</v>
      </c>
      <c r="U174" s="5">
        <v>-4612390000000</v>
      </c>
      <c r="V174" s="5">
        <v>2052255000000</v>
      </c>
      <c r="W174" s="5">
        <v>3316909000000</v>
      </c>
      <c r="X174" s="5">
        <v>-4999306000000</v>
      </c>
      <c r="Y174" s="5">
        <v>25805983000000</v>
      </c>
      <c r="Z174" s="5">
        <v>4205004000000</v>
      </c>
    </row>
    <row r="175" spans="3:26" ht="15.5" x14ac:dyDescent="0.35">
      <c r="C175" t="s">
        <v>507</v>
      </c>
      <c r="D175" s="5">
        <v>-33412125000000</v>
      </c>
      <c r="E175" s="5">
        <v>-60156487000000</v>
      </c>
      <c r="F175" s="5">
        <v>-100036607000000</v>
      </c>
      <c r="G175" s="5">
        <v>-41017413000000</v>
      </c>
      <c r="I175" s="5">
        <v>-225667316000000</v>
      </c>
      <c r="J175" s="5">
        <v>-216097218000000</v>
      </c>
      <c r="K175" s="5">
        <v>-162676803000000</v>
      </c>
      <c r="L175" s="5">
        <v>-136240737000000</v>
      </c>
      <c r="M175" s="5">
        <v>-128125285000000</v>
      </c>
      <c r="N175" s="5">
        <v>-130808823000000</v>
      </c>
      <c r="O175" s="5">
        <v>-113341023000000</v>
      </c>
      <c r="P175" s="5">
        <v>-80019462000000</v>
      </c>
      <c r="Q175" s="5">
        <v>-90070128000000</v>
      </c>
      <c r="R175" s="5">
        <v>-138127963000000</v>
      </c>
      <c r="S175" s="5">
        <v>-60322065000000</v>
      </c>
      <c r="T175" s="5">
        <v>-49735172000000</v>
      </c>
      <c r="U175" s="5">
        <v>-18268301000000</v>
      </c>
      <c r="V175" s="5">
        <v>-23631358000000</v>
      </c>
    </row>
    <row r="176" spans="3:26" ht="15.5" x14ac:dyDescent="0.35">
      <c r="C176" t="s">
        <v>508</v>
      </c>
      <c r="D176" s="5">
        <v>16857848000000</v>
      </c>
      <c r="E176" s="5">
        <v>46265233000000</v>
      </c>
      <c r="F176" s="5">
        <v>68932296000000</v>
      </c>
      <c r="G176" s="5">
        <v>58528678000000</v>
      </c>
      <c r="I176" s="5">
        <v>194313921000000</v>
      </c>
      <c r="J176" s="5">
        <v>160506459000000</v>
      </c>
      <c r="K176" s="5">
        <v>97872788000000</v>
      </c>
      <c r="L176" s="5">
        <v>107010907000000</v>
      </c>
      <c r="M176" s="5">
        <v>90154180000000</v>
      </c>
      <c r="N176" s="5">
        <v>89587869000000</v>
      </c>
      <c r="O176" s="5">
        <v>81979747000000</v>
      </c>
      <c r="P176" s="5">
        <v>102856627000000</v>
      </c>
      <c r="Q176" s="5">
        <v>70914740000000</v>
      </c>
      <c r="R176" s="5">
        <v>82343696000000</v>
      </c>
      <c r="S176" s="5">
        <v>82584300000000</v>
      </c>
      <c r="T176" s="5">
        <v>27283429000000</v>
      </c>
      <c r="U176" s="5">
        <v>15556338000000</v>
      </c>
      <c r="V176" s="5">
        <v>28876712000000</v>
      </c>
    </row>
    <row r="177" spans="3:26" ht="15.5" x14ac:dyDescent="0.35">
      <c r="C177" t="s">
        <v>509</v>
      </c>
      <c r="J177" s="5">
        <v>770959000000</v>
      </c>
      <c r="K177" s="5">
        <v>50000000000</v>
      </c>
      <c r="L177" s="5">
        <v>150000000000</v>
      </c>
      <c r="M177" s="5">
        <v>3656000000</v>
      </c>
      <c r="N177" s="5">
        <v>61671000000</v>
      </c>
      <c r="O177" s="5">
        <v>189740000000</v>
      </c>
      <c r="P177" s="5">
        <v>115679000000</v>
      </c>
      <c r="Q177" s="5">
        <v>35500000000</v>
      </c>
      <c r="R177" s="5">
        <v>29497000000</v>
      </c>
      <c r="U177" s="5">
        <v>985508000000</v>
      </c>
    </row>
    <row r="178" spans="3:26" ht="15.5" x14ac:dyDescent="0.35">
      <c r="C178" t="s">
        <v>361</v>
      </c>
      <c r="D178" s="5">
        <v>1293000000</v>
      </c>
      <c r="E178" s="5">
        <v>6970000000</v>
      </c>
      <c r="F178" s="5">
        <v>59470000000</v>
      </c>
      <c r="G178" s="5">
        <v>39885000000</v>
      </c>
      <c r="I178" s="5">
        <v>107764000000</v>
      </c>
      <c r="J178" s="5">
        <v>38095000000</v>
      </c>
      <c r="K178" s="5">
        <v>34528000000</v>
      </c>
      <c r="L178" s="5">
        <v>46530000000</v>
      </c>
      <c r="M178" s="5">
        <v>10034000000</v>
      </c>
      <c r="N178" s="5">
        <v>9147000000</v>
      </c>
      <c r="O178" s="5">
        <v>1445000000</v>
      </c>
      <c r="P178" s="5">
        <v>11640000000</v>
      </c>
      <c r="Q178" s="5">
        <v>1025000000</v>
      </c>
      <c r="R178" s="5">
        <v>1071000000</v>
      </c>
      <c r="S178" s="5">
        <v>1575000000</v>
      </c>
      <c r="T178" s="5">
        <v>1430000000</v>
      </c>
      <c r="U178" s="5">
        <v>1305000000</v>
      </c>
      <c r="V178" s="5">
        <v>1884000000</v>
      </c>
      <c r="W178" s="5">
        <v>225000000</v>
      </c>
      <c r="X178" s="5">
        <v>140000000</v>
      </c>
      <c r="Y178" s="5">
        <v>108000000</v>
      </c>
      <c r="Z178" s="5">
        <v>51000000</v>
      </c>
    </row>
    <row r="179" spans="3:26" ht="15.5" x14ac:dyDescent="0.35">
      <c r="C179" t="s">
        <v>510</v>
      </c>
      <c r="N179" s="5">
        <v>-303726000000</v>
      </c>
      <c r="O179" s="5">
        <v>-924002000000</v>
      </c>
      <c r="Q179" s="5">
        <v>-269936000000</v>
      </c>
      <c r="T179" s="5">
        <v>47693000000</v>
      </c>
      <c r="U179" s="5">
        <v>26574000000</v>
      </c>
    </row>
    <row r="180" spans="3:26" ht="15.5" x14ac:dyDescent="0.35">
      <c r="C180" t="s">
        <v>511</v>
      </c>
      <c r="R180" s="5">
        <v>-3939435000000</v>
      </c>
      <c r="S180" s="5">
        <v>-2288410000000</v>
      </c>
    </row>
    <row r="181" spans="3:26" ht="15.5" x14ac:dyDescent="0.35">
      <c r="C181" t="s">
        <v>512</v>
      </c>
      <c r="R181" s="5">
        <v>1745000000000</v>
      </c>
      <c r="S181" s="5">
        <v>1485000000000</v>
      </c>
    </row>
    <row r="182" spans="3:26" ht="15.5" x14ac:dyDescent="0.35">
      <c r="C182" t="s">
        <v>160</v>
      </c>
      <c r="D182" s="5">
        <v>-238418000000</v>
      </c>
      <c r="E182" s="5">
        <v>-1111396000000</v>
      </c>
      <c r="F182" s="5">
        <v>-399219000000</v>
      </c>
      <c r="G182" s="5">
        <v>-93300000000</v>
      </c>
      <c r="I182" s="5">
        <v>-1914929000000</v>
      </c>
      <c r="J182" s="5">
        <v>-3565731000000</v>
      </c>
      <c r="K182" s="5">
        <v>-4697731000000</v>
      </c>
      <c r="L182" s="5">
        <v>-2631226000000</v>
      </c>
      <c r="M182" s="5">
        <v>-3061820000000</v>
      </c>
      <c r="N182" s="5">
        <v>-2673737000000</v>
      </c>
      <c r="O182" s="5">
        <v>-2675281000000</v>
      </c>
      <c r="P182" s="5">
        <v>-2347223000000</v>
      </c>
      <c r="Q182" s="5">
        <v>-1736651000000</v>
      </c>
      <c r="R182" s="5">
        <v>-2728366000000</v>
      </c>
      <c r="S182" s="5">
        <v>-2533375000000</v>
      </c>
      <c r="T182" s="5">
        <v>-2661220000000</v>
      </c>
      <c r="U182" s="5">
        <v>-2937296000000</v>
      </c>
      <c r="V182" s="5">
        <v>-3211877000000</v>
      </c>
      <c r="W182" s="5">
        <v>-1727384000000</v>
      </c>
      <c r="X182" s="5">
        <v>-1118823000000</v>
      </c>
      <c r="Y182" s="5">
        <v>-930497000000</v>
      </c>
      <c r="Z182" s="5">
        <v>-1014455000000</v>
      </c>
    </row>
    <row r="183" spans="3:26" ht="15.5" x14ac:dyDescent="0.35">
      <c r="C183" t="s">
        <v>513</v>
      </c>
      <c r="D183" s="5">
        <v>-196795000000</v>
      </c>
      <c r="E183" s="5">
        <v>-236227000000</v>
      </c>
      <c r="F183" s="5">
        <v>-96184000000</v>
      </c>
      <c r="G183" s="5">
        <v>-81413000000</v>
      </c>
      <c r="I183" s="5">
        <v>-536281000000</v>
      </c>
      <c r="J183" s="5">
        <v>-607448000000</v>
      </c>
      <c r="K183" s="5">
        <v>-401617000000</v>
      </c>
      <c r="L183" s="5">
        <v>-723780000000</v>
      </c>
      <c r="M183" s="5">
        <v>-243632000000</v>
      </c>
    </row>
    <row r="184" spans="3:26" ht="15.5" x14ac:dyDescent="0.35">
      <c r="C184" t="s">
        <v>158</v>
      </c>
      <c r="D184" s="5">
        <v>822000000</v>
      </c>
      <c r="E184" s="5">
        <v>1072000000</v>
      </c>
      <c r="F184" s="5">
        <v>3609000000</v>
      </c>
      <c r="G184" s="5">
        <v>912000000</v>
      </c>
      <c r="I184" s="5">
        <v>5915000000</v>
      </c>
      <c r="J184" s="5">
        <v>6378000000</v>
      </c>
      <c r="K184" s="5">
        <v>22086000000</v>
      </c>
      <c r="L184" s="5">
        <v>5320000000</v>
      </c>
      <c r="M184" s="5">
        <v>15009000000</v>
      </c>
      <c r="N184" s="5">
        <v>9755000000</v>
      </c>
      <c r="O184" s="5">
        <v>36960000000</v>
      </c>
      <c r="P184" s="5">
        <v>10393000000</v>
      </c>
      <c r="Q184" s="5">
        <v>505430000000</v>
      </c>
      <c r="R184" s="5">
        <v>80123000000</v>
      </c>
      <c r="S184" s="5">
        <v>8817000000</v>
      </c>
      <c r="T184" s="5">
        <v>10097000000</v>
      </c>
      <c r="U184" s="5">
        <v>23482000000</v>
      </c>
      <c r="V184" s="5">
        <v>16894000000</v>
      </c>
      <c r="W184" s="5">
        <v>24191000000</v>
      </c>
      <c r="X184" s="5">
        <v>13389000000</v>
      </c>
      <c r="Y184" s="5">
        <v>11045000000</v>
      </c>
      <c r="Z184" s="5">
        <v>13780000000</v>
      </c>
    </row>
    <row r="185" spans="3:26" ht="15.5" x14ac:dyDescent="0.35">
      <c r="C185" t="s">
        <v>514</v>
      </c>
    </row>
    <row r="186" spans="3:26" ht="15.5" x14ac:dyDescent="0.35">
      <c r="C186" t="s">
        <v>515</v>
      </c>
      <c r="W186" s="5">
        <v>-205083000000</v>
      </c>
      <c r="X186" s="5">
        <v>-38932000000</v>
      </c>
      <c r="Y186" s="5">
        <v>-212490000000</v>
      </c>
      <c r="Z186" s="5">
        <v>-25824000000</v>
      </c>
    </row>
    <row r="187" spans="3:26" ht="15.5" x14ac:dyDescent="0.35">
      <c r="C187" t="s">
        <v>516</v>
      </c>
      <c r="X187" s="5">
        <v>24366000000</v>
      </c>
    </row>
    <row r="188" spans="3:26" ht="15.5" x14ac:dyDescent="0.35">
      <c r="C188" t="s">
        <v>517</v>
      </c>
      <c r="W188" s="5">
        <v>-938856000000</v>
      </c>
      <c r="X188" s="5">
        <v>-3912071000000</v>
      </c>
      <c r="Y188" s="5">
        <v>-6530064000000</v>
      </c>
      <c r="Z188" s="5">
        <v>-9403737000000</v>
      </c>
    </row>
    <row r="189" spans="3:26" ht="15.5" x14ac:dyDescent="0.35">
      <c r="C189" t="s">
        <v>518</v>
      </c>
      <c r="P189" s="5">
        <v>500000000000</v>
      </c>
    </row>
    <row r="190" spans="3:26" ht="15.5" x14ac:dyDescent="0.35">
      <c r="C190" t="s">
        <v>519</v>
      </c>
      <c r="W190" s="5">
        <v>-2967801000000</v>
      </c>
      <c r="X190" s="5">
        <v>-2010438000000</v>
      </c>
    </row>
    <row r="191" spans="3:26" ht="15.5" x14ac:dyDescent="0.35">
      <c r="C191" t="s">
        <v>520</v>
      </c>
      <c r="W191" s="5">
        <v>2287915000000</v>
      </c>
      <c r="X191" s="5">
        <v>1984364000000</v>
      </c>
    </row>
    <row r="192" spans="3:26" ht="15.5" x14ac:dyDescent="0.35">
      <c r="C192" t="s">
        <v>171</v>
      </c>
      <c r="D192" s="5">
        <v>-1072636000000</v>
      </c>
      <c r="E192" s="5">
        <v>-9012693000000</v>
      </c>
      <c r="F192" s="5">
        <v>386601000000</v>
      </c>
      <c r="G192" s="5">
        <v>-33080365000000</v>
      </c>
      <c r="I192" s="5">
        <v>-41708637000000</v>
      </c>
      <c r="J192" s="5">
        <v>-33328689000000</v>
      </c>
      <c r="K192" s="5">
        <v>-25070681000000</v>
      </c>
      <c r="L192" s="5">
        <v>-19116216000000</v>
      </c>
      <c r="M192" s="5">
        <v>-14098229000000</v>
      </c>
      <c r="N192" s="5">
        <v>-15553268000000</v>
      </c>
      <c r="O192" s="5">
        <v>-7334896000000</v>
      </c>
      <c r="P192" s="5">
        <v>-7297649000000</v>
      </c>
      <c r="Q192" s="5">
        <v>-6655698000000</v>
      </c>
      <c r="R192" s="5">
        <v>-3662059000000</v>
      </c>
      <c r="S192" s="5">
        <v>-4754155000000</v>
      </c>
      <c r="T192" s="5">
        <v>-2743308000000</v>
      </c>
      <c r="U192" s="5">
        <v>83951000000</v>
      </c>
      <c r="V192" s="5">
        <v>-1300874000000</v>
      </c>
      <c r="W192" s="5">
        <v>-2773338000000</v>
      </c>
      <c r="X192" s="5">
        <v>-3022702000000</v>
      </c>
      <c r="Y192" s="5">
        <v>-3201329000000</v>
      </c>
      <c r="Z192" s="5">
        <v>-2858995000000</v>
      </c>
    </row>
    <row r="193" spans="2:26" ht="15.5" x14ac:dyDescent="0.35">
      <c r="C193" t="s">
        <v>521</v>
      </c>
      <c r="D193" s="5">
        <v>51324000000</v>
      </c>
      <c r="F193" s="5">
        <v>-435000000000</v>
      </c>
      <c r="I193" s="5">
        <v>-435000000000</v>
      </c>
      <c r="L193" s="5">
        <v>-483000000000</v>
      </c>
      <c r="M193" s="5">
        <v>-110000000000</v>
      </c>
      <c r="N193" s="5">
        <v>-762000000000</v>
      </c>
      <c r="O193" s="5">
        <v>1106617000000</v>
      </c>
      <c r="P193" s="5">
        <v>-370764000000</v>
      </c>
      <c r="Q193" s="5">
        <v>-1721672000000</v>
      </c>
      <c r="R193" s="5">
        <v>-488794000000</v>
      </c>
      <c r="S193" s="5">
        <v>317065000000</v>
      </c>
      <c r="T193" s="5">
        <v>-628946000000</v>
      </c>
      <c r="U193" s="5">
        <v>610970000000</v>
      </c>
      <c r="V193" s="5">
        <v>1039867000000</v>
      </c>
    </row>
    <row r="194" spans="2:26" ht="15.5" x14ac:dyDescent="0.35">
      <c r="C194" t="s">
        <v>522</v>
      </c>
      <c r="D194" s="5">
        <v>-19806000000</v>
      </c>
      <c r="E194" s="5">
        <v>1176790000000</v>
      </c>
      <c r="F194" s="5">
        <v>-143861000000</v>
      </c>
      <c r="G194" s="5">
        <v>-1796923000000</v>
      </c>
      <c r="I194" s="5">
        <v>-195080000000</v>
      </c>
      <c r="J194" s="5">
        <v>607711000000</v>
      </c>
      <c r="K194" s="5">
        <v>321154000000</v>
      </c>
      <c r="L194" s="5">
        <v>308738000000</v>
      </c>
      <c r="M194" s="5">
        <v>-332381000000</v>
      </c>
      <c r="N194" s="5">
        <v>-1021658000000</v>
      </c>
      <c r="O194" s="5">
        <v>242756000000</v>
      </c>
      <c r="P194" s="5">
        <v>-957816000000</v>
      </c>
      <c r="Q194" s="5">
        <v>252050000000</v>
      </c>
      <c r="R194" s="5">
        <v>1045215000000</v>
      </c>
      <c r="S194" s="5">
        <v>-1337605000000</v>
      </c>
      <c r="T194" s="5">
        <v>907514000000</v>
      </c>
      <c r="U194" s="5">
        <v>372934000000</v>
      </c>
      <c r="V194" s="5">
        <v>-312820000000</v>
      </c>
      <c r="W194" s="5">
        <v>-7883000000</v>
      </c>
      <c r="X194" s="5">
        <v>-281612000000</v>
      </c>
      <c r="Y194" s="5">
        <v>282008000000</v>
      </c>
      <c r="Z194" s="5">
        <v>-635670000000</v>
      </c>
    </row>
    <row r="195" spans="2:26" ht="15.5" x14ac:dyDescent="0.35">
      <c r="C195" t="s">
        <v>523</v>
      </c>
      <c r="L195" s="5">
        <v>7500000000</v>
      </c>
    </row>
    <row r="196" spans="2:26" ht="15.5" x14ac:dyDescent="0.35">
      <c r="C196" t="s">
        <v>524</v>
      </c>
      <c r="E196" s="5">
        <v>-1510677000000</v>
      </c>
      <c r="F196" s="5">
        <v>965462000000</v>
      </c>
      <c r="G196" s="5">
        <v>-224686000000</v>
      </c>
      <c r="I196" s="5">
        <v>-1330996000000</v>
      </c>
      <c r="J196" s="5">
        <v>272426000000</v>
      </c>
      <c r="K196" s="5">
        <v>804113000000</v>
      </c>
      <c r="L196" s="5">
        <v>158179000000</v>
      </c>
      <c r="M196" s="5">
        <v>76992000000</v>
      </c>
      <c r="N196" s="5">
        <v>-135389000000</v>
      </c>
      <c r="O196" s="5">
        <v>68260000000</v>
      </c>
      <c r="P196" s="5">
        <v>-58767000000</v>
      </c>
      <c r="Q196" s="5">
        <v>-38523000000</v>
      </c>
      <c r="R196" s="5">
        <v>96146000000</v>
      </c>
      <c r="S196" s="5">
        <v>38602000000</v>
      </c>
    </row>
    <row r="197" spans="2:26" ht="15.5" x14ac:dyDescent="0.35">
      <c r="C197" t="s">
        <v>525</v>
      </c>
      <c r="Q197" s="5">
        <v>30000000000</v>
      </c>
      <c r="T197" s="5">
        <v>60000000000</v>
      </c>
      <c r="U197" s="5">
        <v>27500000000</v>
      </c>
      <c r="V197" s="5">
        <v>50000000000</v>
      </c>
    </row>
    <row r="198" spans="2:26" ht="15.5" x14ac:dyDescent="0.35">
      <c r="C198" t="s">
        <v>357</v>
      </c>
      <c r="E198" s="5">
        <v>-6776284000000</v>
      </c>
      <c r="G198" s="5">
        <v>-30818763000000</v>
      </c>
      <c r="I198" s="5">
        <v>-37595047000000</v>
      </c>
      <c r="J198" s="5">
        <v>-34208826000000</v>
      </c>
      <c r="K198" s="5">
        <v>-26195948000000</v>
      </c>
      <c r="L198" s="5">
        <v>-19107633000000</v>
      </c>
      <c r="M198" s="5">
        <v>-13732840000000</v>
      </c>
      <c r="N198" s="5">
        <v>-13634221000000</v>
      </c>
      <c r="O198" s="5">
        <v>-8752529000000</v>
      </c>
      <c r="P198" s="5">
        <v>-6410302000000</v>
      </c>
      <c r="Q198" s="5">
        <v>-5177553000000</v>
      </c>
      <c r="R198" s="5">
        <v>-4314626000000</v>
      </c>
      <c r="S198" s="5">
        <v>-3772217000000</v>
      </c>
      <c r="T198" s="5">
        <v>-3081876000000</v>
      </c>
      <c r="U198" s="5">
        <v>-2859981000000</v>
      </c>
      <c r="V198" s="5">
        <v>-2769413000000</v>
      </c>
      <c r="W198" s="5">
        <v>-2765455000000</v>
      </c>
      <c r="X198" s="5">
        <v>-2741090000000</v>
      </c>
      <c r="Y198" s="5">
        <v>-3411135000000</v>
      </c>
      <c r="Z198" s="5">
        <v>-1549623000000</v>
      </c>
    </row>
    <row r="199" spans="2:26" ht="15.5" x14ac:dyDescent="0.35">
      <c r="C199" t="s">
        <v>526</v>
      </c>
      <c r="U199" s="5">
        <v>1932528000000</v>
      </c>
      <c r="V199" s="5">
        <v>691492000000</v>
      </c>
    </row>
    <row r="200" spans="2:26" ht="15.5" x14ac:dyDescent="0.35">
      <c r="C200" t="s">
        <v>527</v>
      </c>
      <c r="Y200" s="5">
        <v>-72202000000</v>
      </c>
      <c r="Z200" s="5">
        <v>-56113000000</v>
      </c>
    </row>
    <row r="201" spans="2:26" ht="15.5" x14ac:dyDescent="0.35">
      <c r="C201" t="s">
        <v>528</v>
      </c>
      <c r="D201" s="5">
        <v>-1104154000000</v>
      </c>
      <c r="E201" s="5">
        <v>-1902522000000</v>
      </c>
      <c r="G201" s="5">
        <v>-239993000000</v>
      </c>
      <c r="I201" s="5">
        <v>-2152514000000</v>
      </c>
      <c r="Z201" s="5">
        <v>-617589000000</v>
      </c>
    </row>
    <row r="202" spans="2:26" ht="15.5" x14ac:dyDescent="0.35">
      <c r="C202" t="s">
        <v>188</v>
      </c>
      <c r="D202" s="5">
        <v>29860717000000</v>
      </c>
      <c r="E202" s="5">
        <v>-12666723000000</v>
      </c>
      <c r="F202" s="5">
        <v>-6141272000000</v>
      </c>
      <c r="G202" s="5">
        <v>-9963149000000</v>
      </c>
      <c r="I202" s="5">
        <v>2109222000000</v>
      </c>
      <c r="J202" s="5">
        <v>-38456966000000</v>
      </c>
      <c r="K202" s="5">
        <v>-36751964000000</v>
      </c>
      <c r="L202" s="5">
        <v>-17719939000000</v>
      </c>
      <c r="M202" s="5">
        <v>70840231000000</v>
      </c>
      <c r="N202" s="5">
        <v>-8692237000000</v>
      </c>
      <c r="O202" s="5">
        <v>9874730000000</v>
      </c>
      <c r="P202" s="5">
        <v>18242567000000</v>
      </c>
      <c r="Q202" s="5">
        <v>-17617091000000</v>
      </c>
      <c r="R202" s="5">
        <v>-18590952000000</v>
      </c>
      <c r="S202" s="5">
        <v>43640713000000</v>
      </c>
      <c r="T202" s="5">
        <v>7339476000000</v>
      </c>
      <c r="U202" s="5">
        <v>-8718266000000</v>
      </c>
      <c r="V202" s="5">
        <v>28466425000000</v>
      </c>
      <c r="W202" s="5">
        <v>-36684982000000</v>
      </c>
      <c r="X202" s="5">
        <v>-5310046000000</v>
      </c>
      <c r="Y202" s="5">
        <v>3944253000000</v>
      </c>
      <c r="Z202" s="5">
        <v>-397755000000</v>
      </c>
    </row>
    <row r="203" spans="2:26" ht="15.5" x14ac:dyDescent="0.35">
      <c r="C203" t="s">
        <v>189</v>
      </c>
      <c r="D203" s="5">
        <v>87549328000000</v>
      </c>
      <c r="I203" s="5">
        <v>85482530000000</v>
      </c>
      <c r="J203" s="5">
        <v>124395987000000</v>
      </c>
      <c r="K203" s="5">
        <v>160422371000000</v>
      </c>
      <c r="L203" s="5">
        <v>177268685000000</v>
      </c>
      <c r="M203" s="5">
        <v>106271237000000</v>
      </c>
      <c r="N203" s="5">
        <v>113067545000000</v>
      </c>
      <c r="O203" s="5">
        <v>103311560000000</v>
      </c>
      <c r="P203" s="5">
        <v>83377439000000</v>
      </c>
      <c r="Q203" s="5">
        <v>100319853000000</v>
      </c>
      <c r="R203" s="5">
        <v>118661241000000</v>
      </c>
      <c r="S203" s="5">
        <v>74475895000000</v>
      </c>
      <c r="T203" s="5">
        <v>67156327000000</v>
      </c>
      <c r="U203" s="5">
        <v>76894602000000</v>
      </c>
      <c r="V203" s="5">
        <v>49176049000000</v>
      </c>
      <c r="W203" s="5">
        <v>86795966000000</v>
      </c>
      <c r="X203" s="5">
        <v>92106012000000</v>
      </c>
      <c r="Y203" s="5">
        <v>28456580000000</v>
      </c>
      <c r="Z203" s="5">
        <v>28854335000000</v>
      </c>
    </row>
    <row r="204" spans="2:26" ht="15.5" x14ac:dyDescent="0.35">
      <c r="C204" t="s">
        <v>190</v>
      </c>
      <c r="D204" s="5">
        <v>-344548000000</v>
      </c>
      <c r="E204" s="5">
        <v>13903000000</v>
      </c>
      <c r="F204" s="5">
        <v>-441894000000</v>
      </c>
      <c r="G204" s="5">
        <v>716135000000</v>
      </c>
      <c r="I204" s="5">
        <v>-42424000000</v>
      </c>
      <c r="J204" s="5">
        <v>-456491000000</v>
      </c>
      <c r="K204" s="5">
        <v>725580000000</v>
      </c>
      <c r="L204" s="5">
        <v>873625000000</v>
      </c>
      <c r="M204" s="5">
        <v>157217000000</v>
      </c>
      <c r="N204" s="5">
        <v>1895929000000</v>
      </c>
      <c r="O204" s="5">
        <v>-118745000000</v>
      </c>
      <c r="P204" s="5">
        <v>1691554000000</v>
      </c>
      <c r="Q204" s="5">
        <v>674677000000</v>
      </c>
      <c r="R204" s="5">
        <v>249564000000</v>
      </c>
      <c r="S204" s="5">
        <v>544633000000</v>
      </c>
      <c r="T204" s="5">
        <v>-19908000000</v>
      </c>
      <c r="U204" s="5">
        <v>-1020009000000</v>
      </c>
      <c r="V204" s="5">
        <v>-747872000000</v>
      </c>
      <c r="W204" s="5">
        <v>-934935000000</v>
      </c>
    </row>
    <row r="205" spans="2:26" ht="15.5" x14ac:dyDescent="0.35">
      <c r="C205" t="s">
        <v>191</v>
      </c>
      <c r="D205" s="5">
        <v>117065497000000</v>
      </c>
      <c r="E205" s="5">
        <v>-12652820000000</v>
      </c>
      <c r="F205" s="5">
        <v>-6583166000000</v>
      </c>
      <c r="G205" s="5">
        <v>-9247014000000</v>
      </c>
      <c r="I205" s="5">
        <v>87549328000000</v>
      </c>
      <c r="J205" s="5">
        <v>85482530000000</v>
      </c>
      <c r="K205" s="5">
        <v>124395987000000</v>
      </c>
      <c r="L205" s="5">
        <v>160422371000000</v>
      </c>
      <c r="M205" s="5">
        <v>177268685000000</v>
      </c>
      <c r="N205" s="5">
        <v>106271237000000</v>
      </c>
      <c r="O205" s="5">
        <v>113067545000000</v>
      </c>
      <c r="P205" s="5">
        <v>103311560000000</v>
      </c>
      <c r="Q205" s="5">
        <v>83377439000000</v>
      </c>
      <c r="R205" s="5">
        <v>100319853000000</v>
      </c>
      <c r="S205" s="5">
        <v>118661241000000</v>
      </c>
      <c r="T205" s="5">
        <v>74475895000000</v>
      </c>
      <c r="U205" s="5">
        <v>67156327000000</v>
      </c>
      <c r="V205" s="5">
        <v>76894602000000</v>
      </c>
      <c r="W205" s="5">
        <v>49176049000000</v>
      </c>
      <c r="X205" s="5">
        <v>86795966000000</v>
      </c>
      <c r="Y205" s="5">
        <v>32400833000000</v>
      </c>
      <c r="Z205" s="5">
        <v>28456580000000</v>
      </c>
    </row>
    <row r="207" spans="2:26" ht="15.5" x14ac:dyDescent="0.35">
      <c r="B207" t="s">
        <v>192</v>
      </c>
      <c r="C207" t="s">
        <v>10</v>
      </c>
      <c r="D207" s="5">
        <v>123280000000</v>
      </c>
      <c r="E207" s="5">
        <v>123280000000</v>
      </c>
      <c r="F207" s="5">
        <v>123280000000</v>
      </c>
      <c r="G207" s="5">
        <v>123280000000</v>
      </c>
      <c r="I207" s="5">
        <v>123280000000</v>
      </c>
      <c r="J207" s="5">
        <v>123280000000</v>
      </c>
      <c r="K207" s="5">
        <v>123280000000</v>
      </c>
      <c r="L207" s="5">
        <v>123280000000</v>
      </c>
      <c r="M207" s="5">
        <v>123280000000</v>
      </c>
      <c r="N207" s="5">
        <v>24660000000</v>
      </c>
      <c r="O207" s="5">
        <v>24660000000</v>
      </c>
      <c r="P207" s="5">
        <v>24660000000</v>
      </c>
      <c r="Q207" s="5">
        <v>24660000000</v>
      </c>
      <c r="R207" s="5">
        <v>24660000000</v>
      </c>
      <c r="S207" s="5">
        <v>24660000000</v>
      </c>
      <c r="T207" s="5">
        <v>24660000000</v>
      </c>
      <c r="U207" s="5">
        <v>24660000000</v>
      </c>
      <c r="V207" s="5">
        <v>24660000000</v>
      </c>
      <c r="W207" s="5">
        <v>24660000000</v>
      </c>
      <c r="X207" s="5">
        <v>24660000000</v>
      </c>
      <c r="Y207" s="5">
        <v>24660000000</v>
      </c>
      <c r="Z207" s="5">
        <v>24660000000</v>
      </c>
    </row>
    <row r="208" spans="2:26" ht="15.5" x14ac:dyDescent="0.35">
      <c r="C208" t="s">
        <v>193</v>
      </c>
      <c r="D208" s="6">
        <v>119.12</v>
      </c>
      <c r="E208" s="6">
        <v>114.7</v>
      </c>
      <c r="F208" s="6">
        <v>116.66</v>
      </c>
      <c r="G208" s="6">
        <v>120.63</v>
      </c>
    </row>
    <row r="209" spans="3:7" ht="15.5" x14ac:dyDescent="0.35">
      <c r="C209" t="s">
        <v>194</v>
      </c>
      <c r="D209" s="6">
        <v>54.15</v>
      </c>
      <c r="E209" s="6">
        <v>70.400000000000006</v>
      </c>
      <c r="F209" s="6">
        <v>65.36</v>
      </c>
      <c r="G209" s="6">
        <v>71.91</v>
      </c>
    </row>
    <row r="210" spans="3:7" ht="15.5" x14ac:dyDescent="0.35">
      <c r="C210" t="s">
        <v>56</v>
      </c>
      <c r="D210" s="6">
        <v>26.81</v>
      </c>
      <c r="E210" s="6">
        <v>36.67</v>
      </c>
      <c r="F210" s="6">
        <v>30.44</v>
      </c>
      <c r="G210" s="6">
        <v>33.92</v>
      </c>
    </row>
    <row r="211" spans="3:7" ht="15.5" x14ac:dyDescent="0.35">
      <c r="C211" t="s">
        <v>195</v>
      </c>
      <c r="D211" s="5">
        <v>18814980000000</v>
      </c>
      <c r="E211" s="5">
        <v>18122510000000</v>
      </c>
      <c r="F211" s="5">
        <v>18637070000000</v>
      </c>
      <c r="G211" s="5">
        <v>18997430000000</v>
      </c>
    </row>
    <row r="212" spans="3:7" ht="15.5" x14ac:dyDescent="0.35">
      <c r="C212" t="s">
        <v>196</v>
      </c>
      <c r="D212" s="6">
        <v>8.8999999999999999E-3</v>
      </c>
      <c r="E212" s="6">
        <v>8.8999999999999999E-3</v>
      </c>
      <c r="F212" s="6">
        <v>9.300000000000001E-3</v>
      </c>
      <c r="G212" s="6">
        <v>9.8999999999999991E-3</v>
      </c>
    </row>
    <row r="213" spans="3:7" ht="15.5" x14ac:dyDescent="0.35">
      <c r="C213" t="s">
        <v>197</v>
      </c>
      <c r="D213" s="6">
        <v>5.67E-2</v>
      </c>
      <c r="E213" s="6">
        <v>5.0199999999999995E-2</v>
      </c>
      <c r="F213" s="6">
        <v>5.2000000000000005E-2</v>
      </c>
      <c r="G213" s="6">
        <v>5.6799999999999996E-2</v>
      </c>
    </row>
    <row r="214" spans="3:7" ht="15.5" x14ac:dyDescent="0.35">
      <c r="C214" t="s">
        <v>198</v>
      </c>
      <c r="D214" s="6">
        <v>1.1200000000000002E-2</v>
      </c>
      <c r="E214" s="6">
        <v>1.1200000000000002E-2</v>
      </c>
      <c r="F214" s="6">
        <v>1.18E-2</v>
      </c>
      <c r="G214" s="6">
        <v>1.21E-2</v>
      </c>
    </row>
    <row r="215" spans="3:7" ht="15.5" x14ac:dyDescent="0.35">
      <c r="C215" t="s">
        <v>199</v>
      </c>
    </row>
    <row r="216" spans="3:7" ht="15.5" x14ac:dyDescent="0.35">
      <c r="C216" t="s">
        <v>200</v>
      </c>
      <c r="D216" s="5">
        <v>259359000000000</v>
      </c>
      <c r="E216" s="5">
        <v>281688000000000</v>
      </c>
      <c r="F216" s="5">
        <v>276635000000000</v>
      </c>
      <c r="G216" s="5">
        <v>261801000000000</v>
      </c>
    </row>
    <row r="217" spans="3:7" ht="15.5" x14ac:dyDescent="0.35">
      <c r="C217" t="s">
        <v>201</v>
      </c>
      <c r="D217" s="6">
        <v>3.07</v>
      </c>
      <c r="E217" s="6">
        <v>3.54</v>
      </c>
      <c r="F217" s="6">
        <v>3.4</v>
      </c>
      <c r="G217" s="6">
        <v>4.09</v>
      </c>
    </row>
    <row r="218" spans="3:7" ht="15.5" x14ac:dyDescent="0.35">
      <c r="C218" t="s">
        <v>202</v>
      </c>
      <c r="D218" s="6">
        <v>2102.0700000000002</v>
      </c>
      <c r="E218" s="6">
        <v>2283.2399999999998</v>
      </c>
      <c r="F218" s="6">
        <v>2242.27</v>
      </c>
      <c r="G218" s="6">
        <v>2122.0500000000002</v>
      </c>
    </row>
    <row r="219" spans="3:7" ht="15.5" x14ac:dyDescent="0.35">
      <c r="C219" t="s">
        <v>203</v>
      </c>
      <c r="D219" s="6">
        <v>3.09</v>
      </c>
      <c r="E219" s="6">
        <v>3.56</v>
      </c>
      <c r="F219" s="6">
        <v>3.42</v>
      </c>
      <c r="G219" s="6">
        <v>4.12</v>
      </c>
    </row>
    <row r="220" spans="3:7" ht="15.5" x14ac:dyDescent="0.35">
      <c r="C220" t="s">
        <v>204</v>
      </c>
      <c r="D220" s="6">
        <v>2087.9899999999998</v>
      </c>
      <c r="E220" s="6">
        <v>2268.81</v>
      </c>
      <c r="F220" s="6">
        <v>2228.16</v>
      </c>
      <c r="G220" s="6">
        <v>2107.86</v>
      </c>
    </row>
    <row r="221" spans="3:7" ht="15.5" x14ac:dyDescent="0.35">
      <c r="C221" t="s">
        <v>205</v>
      </c>
    </row>
    <row r="222" spans="3:7" ht="15.5" x14ac:dyDescent="0.35">
      <c r="C222" t="s">
        <v>206</v>
      </c>
    </row>
    <row r="223" spans="3:7" ht="15.5" x14ac:dyDescent="0.35">
      <c r="C223" t="s">
        <v>207</v>
      </c>
      <c r="D223" s="5">
        <v>259132000000000</v>
      </c>
      <c r="E223" s="5">
        <v>281466000000000</v>
      </c>
      <c r="F223" s="5">
        <v>276416000000000</v>
      </c>
      <c r="G223" s="5">
        <v>261596000000000</v>
      </c>
    </row>
    <row r="224" spans="3:7" ht="15.5" x14ac:dyDescent="0.35">
      <c r="C224" t="s">
        <v>22</v>
      </c>
    </row>
    <row r="225" spans="3:26" ht="15.5" x14ac:dyDescent="0.35">
      <c r="C225" t="s">
        <v>19</v>
      </c>
    </row>
    <row r="226" spans="3:26" ht="15.5" x14ac:dyDescent="0.35">
      <c r="C226" t="s">
        <v>208</v>
      </c>
    </row>
    <row r="227" spans="3:26" ht="15.5" x14ac:dyDescent="0.35">
      <c r="C227" t="s">
        <v>209</v>
      </c>
      <c r="D227" s="5">
        <v>47921000000000</v>
      </c>
      <c r="E227" s="5">
        <v>11577000000000</v>
      </c>
      <c r="F227" s="5">
        <v>25009000000000</v>
      </c>
      <c r="G227" s="5">
        <v>5740000000000</v>
      </c>
    </row>
    <row r="228" spans="3:26" ht="15.5" x14ac:dyDescent="0.35">
      <c r="C228" t="s">
        <v>210</v>
      </c>
      <c r="D228" s="5">
        <v>-238000000000</v>
      </c>
      <c r="E228" s="5">
        <v>-1111000000000</v>
      </c>
      <c r="F228" s="5">
        <v>-399000000000</v>
      </c>
      <c r="G228" s="5">
        <v>-93000000000</v>
      </c>
    </row>
    <row r="229" spans="3:26" ht="15.5" x14ac:dyDescent="0.35">
      <c r="C229" t="s">
        <v>11</v>
      </c>
      <c r="D229" s="5">
        <v>47682000000000</v>
      </c>
      <c r="E229" s="5">
        <v>10465000000000</v>
      </c>
      <c r="F229" s="5">
        <v>24610000000000</v>
      </c>
      <c r="G229" s="5">
        <v>5647000000000</v>
      </c>
    </row>
    <row r="230" spans="3:26" ht="15.5" x14ac:dyDescent="0.35">
      <c r="C230" t="s">
        <v>14</v>
      </c>
      <c r="D230" s="6">
        <v>386.8</v>
      </c>
      <c r="E230" s="6">
        <v>84.89</v>
      </c>
      <c r="F230" s="6">
        <v>199.63</v>
      </c>
      <c r="G230" s="6">
        <v>45.8</v>
      </c>
    </row>
    <row r="231" spans="3:26" ht="15.5" x14ac:dyDescent="0.35">
      <c r="C231" t="s">
        <v>43</v>
      </c>
      <c r="I231" s="6">
        <v>466.74</v>
      </c>
      <c r="J231" s="6">
        <v>444.83</v>
      </c>
      <c r="K231" s="6">
        <v>394.56</v>
      </c>
      <c r="L231" s="6">
        <v>330.45</v>
      </c>
      <c r="M231" s="6">
        <v>254.9</v>
      </c>
      <c r="N231" s="6">
        <v>1100.43</v>
      </c>
      <c r="O231" s="6">
        <v>1158.5899999999999</v>
      </c>
      <c r="P231" s="6">
        <v>1048.68</v>
      </c>
      <c r="Q231" s="6">
        <v>945.45</v>
      </c>
      <c r="R231" s="6">
        <v>835.76</v>
      </c>
      <c r="S231" s="6">
        <v>730.83</v>
      </c>
      <c r="T231" s="6">
        <v>668.66</v>
      </c>
      <c r="U231" s="6">
        <v>578.13</v>
      </c>
      <c r="V231" s="6">
        <v>475.43</v>
      </c>
      <c r="W231" s="6">
        <v>438.83</v>
      </c>
      <c r="X231" s="6">
        <v>343.92</v>
      </c>
      <c r="Y231" s="6">
        <v>276.10000000000002</v>
      </c>
      <c r="Z231" s="6">
        <v>234.28</v>
      </c>
    </row>
    <row r="232" spans="3:26" ht="15.5" x14ac:dyDescent="0.35">
      <c r="C232" t="s">
        <v>55</v>
      </c>
      <c r="I232" s="6">
        <v>17.3</v>
      </c>
      <c r="J232" s="6">
        <v>21.75</v>
      </c>
      <c r="K232" s="6">
        <v>23.82</v>
      </c>
      <c r="L232" s="6">
        <v>25.87</v>
      </c>
      <c r="M232" s="6">
        <v>28.64</v>
      </c>
      <c r="N232" s="6">
        <v>30.76</v>
      </c>
      <c r="O232" s="6">
        <v>28.85</v>
      </c>
      <c r="P232" s="6">
        <v>24.79</v>
      </c>
      <c r="Q232" s="6">
        <v>23.16</v>
      </c>
      <c r="R232" s="6">
        <v>18.55</v>
      </c>
      <c r="S232" s="6">
        <v>18.2</v>
      </c>
      <c r="T232" s="6">
        <v>19.63</v>
      </c>
      <c r="U232" s="6">
        <v>16.61</v>
      </c>
      <c r="V232" s="6">
        <v>19.14</v>
      </c>
      <c r="W232" s="6">
        <v>18.23</v>
      </c>
      <c r="X232" s="6">
        <v>18.61</v>
      </c>
      <c r="Y232" s="6">
        <v>17.57</v>
      </c>
      <c r="Z232" s="6">
        <v>13.87</v>
      </c>
    </row>
    <row r="233" spans="3:26" ht="15.5" x14ac:dyDescent="0.35">
      <c r="C233" t="s">
        <v>58</v>
      </c>
      <c r="I233" s="6">
        <v>8.4</v>
      </c>
      <c r="J233" s="6">
        <v>10.58</v>
      </c>
      <c r="K233" s="6">
        <v>11.14</v>
      </c>
      <c r="L233" s="6">
        <v>11.87</v>
      </c>
      <c r="M233" s="6">
        <v>11.21</v>
      </c>
      <c r="N233" s="6">
        <v>10.62</v>
      </c>
      <c r="O233" s="6">
        <v>10.64</v>
      </c>
      <c r="P233" s="6">
        <v>9.32</v>
      </c>
      <c r="Q233" s="6">
        <v>8.42</v>
      </c>
      <c r="R233" s="6">
        <v>6.39</v>
      </c>
      <c r="S233" s="6">
        <v>5.7</v>
      </c>
      <c r="T233" s="6">
        <v>6.24</v>
      </c>
      <c r="U233" s="6">
        <v>5.76</v>
      </c>
      <c r="V233" s="6">
        <v>6.42</v>
      </c>
      <c r="W233" s="6">
        <v>8.0299999999999994</v>
      </c>
      <c r="X233" s="6">
        <v>7.64</v>
      </c>
      <c r="Y233" s="6">
        <v>5.21</v>
      </c>
      <c r="Z233" s="6">
        <v>4.1500000000000004</v>
      </c>
    </row>
    <row r="234" spans="3:26" ht="15.5" x14ac:dyDescent="0.35">
      <c r="C234" t="s">
        <v>211</v>
      </c>
      <c r="I234" s="5">
        <v>73862910000000</v>
      </c>
      <c r="J234" s="5">
        <v>70385400000000</v>
      </c>
      <c r="K234" s="5">
        <v>63391240000000</v>
      </c>
      <c r="L234" s="5">
        <v>53129220000000</v>
      </c>
      <c r="M234" s="5">
        <v>41288360000000</v>
      </c>
      <c r="N234" s="5">
        <v>36113520000000</v>
      </c>
      <c r="O234" s="5">
        <v>38304610000000</v>
      </c>
      <c r="P234" s="5">
        <v>34787670000000</v>
      </c>
    </row>
    <row r="235" spans="3:26" ht="15.5" x14ac:dyDescent="0.35">
      <c r="C235" t="s">
        <v>212</v>
      </c>
      <c r="I235" s="6">
        <v>3.6299999999999999E-2</v>
      </c>
      <c r="J235" s="6">
        <v>3.78E-2</v>
      </c>
      <c r="K235" s="6">
        <v>3.4500000000000003E-2</v>
      </c>
      <c r="L235" s="6">
        <v>3.1E-2</v>
      </c>
      <c r="M235" s="6">
        <v>2.5600000000000001E-2</v>
      </c>
      <c r="N235" s="6">
        <v>2.52E-2</v>
      </c>
      <c r="O235" s="6">
        <v>3.1099999999999999E-2</v>
      </c>
      <c r="P235" s="6">
        <v>3.1300000000000001E-2</v>
      </c>
      <c r="Q235" s="6">
        <v>3.1099999999999999E-2</v>
      </c>
      <c r="R235" s="6">
        <v>3.04E-2</v>
      </c>
      <c r="S235" s="6">
        <v>3.0299999999999997E-2</v>
      </c>
      <c r="T235" s="6">
        <v>2.98E-2</v>
      </c>
      <c r="U235" s="6">
        <v>2.87E-2</v>
      </c>
      <c r="V235" s="6">
        <v>2.6499999999999999E-2</v>
      </c>
      <c r="W235" s="6">
        <v>2.8300000000000002E-2</v>
      </c>
      <c r="X235" s="6">
        <v>2.6099999999999998E-2</v>
      </c>
      <c r="Y235" s="6">
        <v>2.41E-2</v>
      </c>
      <c r="Z235" s="6">
        <v>2.35E-2</v>
      </c>
    </row>
    <row r="236" spans="3:26" ht="15.5" x14ac:dyDescent="0.35">
      <c r="C236" t="s">
        <v>213</v>
      </c>
      <c r="I236" s="6">
        <v>0.20440000000000003</v>
      </c>
      <c r="J236" s="6">
        <v>0.20879999999999999</v>
      </c>
      <c r="K236" s="6">
        <v>0.20069999999999999</v>
      </c>
      <c r="L236" s="6">
        <v>0.18429999999999999</v>
      </c>
      <c r="M236" s="6">
        <v>0.155</v>
      </c>
      <c r="N236" s="6">
        <v>0.14699999999999999</v>
      </c>
      <c r="O236" s="6">
        <v>0.1641</v>
      </c>
      <c r="P236" s="6">
        <v>0.17050000000000001</v>
      </c>
      <c r="Q236" s="6">
        <v>0.17749999999999999</v>
      </c>
      <c r="R236" s="6">
        <v>0.18329999999999999</v>
      </c>
      <c r="S236" s="6">
        <v>0.2016</v>
      </c>
      <c r="T236" s="6">
        <v>0.2122</v>
      </c>
      <c r="U236" s="6">
        <v>0.22320000000000001</v>
      </c>
      <c r="V236" s="6">
        <v>0.22620000000000001</v>
      </c>
      <c r="W236" s="6">
        <v>0.2576</v>
      </c>
      <c r="X236" s="6">
        <v>0.24859999999999999</v>
      </c>
      <c r="Y236" s="6">
        <v>0.24440000000000001</v>
      </c>
      <c r="Z236" s="6">
        <v>0.24809999999999999</v>
      </c>
    </row>
    <row r="237" spans="3:26" ht="15.5" x14ac:dyDescent="0.35">
      <c r="C237" t="s">
        <v>214</v>
      </c>
      <c r="I237" s="6">
        <v>4.6900000000000004E-2</v>
      </c>
      <c r="J237" s="6">
        <v>4.7699999999999992E-2</v>
      </c>
      <c r="K237" s="6">
        <v>4.4199999999999996E-2</v>
      </c>
      <c r="L237" s="6">
        <v>3.9699999999999999E-2</v>
      </c>
      <c r="M237" s="6">
        <v>3.3700000000000001E-2</v>
      </c>
      <c r="N237" s="6">
        <v>3.3700000000000001E-2</v>
      </c>
      <c r="O237" s="6">
        <v>4.1599999999999998E-2</v>
      </c>
      <c r="P237" s="6">
        <v>4.1500000000000002E-2</v>
      </c>
      <c r="Q237" s="6">
        <v>4.0899999999999999E-2</v>
      </c>
      <c r="R237" s="6">
        <v>4.07E-2</v>
      </c>
      <c r="S237" s="6">
        <v>3.95E-2</v>
      </c>
      <c r="T237" s="6">
        <v>3.9100000000000003E-2</v>
      </c>
      <c r="U237" s="6">
        <v>3.6400000000000002E-2</v>
      </c>
      <c r="V237" s="6">
        <v>3.4599999999999999E-2</v>
      </c>
      <c r="W237" s="6">
        <v>3.7699999999999997E-2</v>
      </c>
      <c r="X237" s="6">
        <v>3.4300000000000004E-2</v>
      </c>
      <c r="Y237" s="6">
        <v>3.2300000000000002E-2</v>
      </c>
      <c r="Z237" s="6">
        <v>6.2400000000000004E-2</v>
      </c>
    </row>
    <row r="238" spans="3:26" ht="15.5" x14ac:dyDescent="0.35">
      <c r="C238" t="s">
        <v>215</v>
      </c>
    </row>
    <row r="239" spans="3:26" ht="15.5" x14ac:dyDescent="0.35">
      <c r="C239" t="s">
        <v>52</v>
      </c>
      <c r="I239" s="6">
        <v>3.54</v>
      </c>
      <c r="J239" s="6">
        <v>4.54</v>
      </c>
      <c r="K239" s="6">
        <v>4.78</v>
      </c>
      <c r="L239" s="6">
        <v>4.7699999999999996</v>
      </c>
      <c r="M239" s="6">
        <v>4.4400000000000004</v>
      </c>
      <c r="N239" s="6">
        <v>4.5199999999999996</v>
      </c>
      <c r="O239" s="6">
        <v>4.74</v>
      </c>
      <c r="P239" s="6">
        <v>4.2300000000000004</v>
      </c>
      <c r="Q239" s="6">
        <v>4.1100000000000003</v>
      </c>
      <c r="R239" s="6">
        <v>3.4</v>
      </c>
      <c r="S239" s="6">
        <v>3.67</v>
      </c>
      <c r="T239" s="6">
        <v>4.17</v>
      </c>
      <c r="U239" s="6">
        <v>3.71</v>
      </c>
      <c r="V239" s="6">
        <v>4.33</v>
      </c>
      <c r="W239" s="6">
        <v>4.7</v>
      </c>
      <c r="X239" s="6">
        <v>4.63</v>
      </c>
      <c r="Y239" s="6">
        <v>4.29</v>
      </c>
      <c r="Z239" s="6">
        <v>3.44</v>
      </c>
    </row>
    <row r="240" spans="3:26" ht="15.5" x14ac:dyDescent="0.35">
      <c r="C240" t="s">
        <v>49</v>
      </c>
      <c r="I240" s="6">
        <v>2283.2399999999998</v>
      </c>
      <c r="J240" s="6">
        <v>2130.5300000000002</v>
      </c>
      <c r="K240" s="6">
        <v>1965.98</v>
      </c>
      <c r="L240" s="6">
        <v>1792.89</v>
      </c>
      <c r="M240" s="6">
        <v>1644.39</v>
      </c>
      <c r="N240" s="6">
        <v>7487.17</v>
      </c>
      <c r="O240" s="6">
        <v>7059.13</v>
      </c>
      <c r="P240" s="6">
        <v>6151.27</v>
      </c>
      <c r="Q240" s="6">
        <v>5325.63</v>
      </c>
      <c r="R240" s="6">
        <v>4560.25</v>
      </c>
      <c r="S240" s="6">
        <v>3624.8</v>
      </c>
      <c r="T240" s="6">
        <v>3150.8</v>
      </c>
      <c r="U240" s="6">
        <v>2590.37</v>
      </c>
      <c r="V240" s="6">
        <v>2102.08</v>
      </c>
      <c r="W240" s="6">
        <v>1703.63</v>
      </c>
      <c r="X240" s="6">
        <v>1383.4</v>
      </c>
      <c r="Y240" s="6">
        <v>1129.8599999999999</v>
      </c>
      <c r="Z240" s="6">
        <v>944.2</v>
      </c>
    </row>
    <row r="241" spans="2:26" ht="15.5" x14ac:dyDescent="0.35">
      <c r="C241" t="s">
        <v>216</v>
      </c>
      <c r="I241" s="6">
        <v>3.56</v>
      </c>
      <c r="J241" s="6">
        <v>4.57</v>
      </c>
      <c r="K241" s="6">
        <v>4.8099999999999996</v>
      </c>
      <c r="L241" s="6">
        <v>4.8</v>
      </c>
      <c r="M241" s="6">
        <v>4.47</v>
      </c>
      <c r="N241" s="6">
        <v>4.5599999999999996</v>
      </c>
      <c r="O241" s="6">
        <v>4.7699999999999996</v>
      </c>
      <c r="P241" s="6">
        <v>4.25</v>
      </c>
      <c r="Q241" s="6">
        <v>4.1100000000000003</v>
      </c>
      <c r="R241" s="6">
        <v>3.4</v>
      </c>
      <c r="S241" s="6">
        <v>3.67</v>
      </c>
      <c r="T241" s="6">
        <v>4.17</v>
      </c>
      <c r="U241" s="6">
        <v>3.71</v>
      </c>
      <c r="V241" s="6">
        <v>4.33</v>
      </c>
      <c r="W241" s="6">
        <v>4.7</v>
      </c>
      <c r="X241" s="6">
        <v>4.63</v>
      </c>
      <c r="Y241" s="6">
        <v>4.29</v>
      </c>
      <c r="Z241" s="6">
        <v>3.44</v>
      </c>
    </row>
    <row r="242" spans="2:26" ht="15.5" x14ac:dyDescent="0.35">
      <c r="C242" t="s">
        <v>217</v>
      </c>
      <c r="I242" s="6">
        <v>2268.81</v>
      </c>
      <c r="J242" s="6">
        <v>2115.88</v>
      </c>
      <c r="K242" s="6">
        <v>1953.29</v>
      </c>
      <c r="L242" s="6">
        <v>1780.18</v>
      </c>
      <c r="M242" s="6">
        <v>1631.56</v>
      </c>
      <c r="N242" s="6">
        <v>7421.08</v>
      </c>
      <c r="O242" s="6">
        <v>7003.26</v>
      </c>
      <c r="P242" s="6">
        <v>6123.72</v>
      </c>
      <c r="Q242" s="6">
        <v>5325.63</v>
      </c>
      <c r="R242" s="6">
        <v>4560.25</v>
      </c>
      <c r="S242" s="6">
        <v>3624.8</v>
      </c>
      <c r="T242" s="6">
        <v>3150.8</v>
      </c>
      <c r="U242" s="6">
        <v>2590.37</v>
      </c>
      <c r="V242" s="6">
        <v>2102.08</v>
      </c>
      <c r="W242" s="6">
        <v>1703.63</v>
      </c>
      <c r="X242" s="6">
        <v>1383.4</v>
      </c>
      <c r="Y242" s="6">
        <v>1129.8599999999999</v>
      </c>
      <c r="Z242" s="6">
        <v>944.2</v>
      </c>
    </row>
    <row r="243" spans="2:26" ht="15.5" x14ac:dyDescent="0.35">
      <c r="C243" t="s">
        <v>218</v>
      </c>
    </row>
    <row r="244" spans="2:26" ht="15.5" x14ac:dyDescent="0.35">
      <c r="C244" t="s">
        <v>219</v>
      </c>
    </row>
    <row r="245" spans="2:26" ht="15.5" x14ac:dyDescent="0.35">
      <c r="C245" t="s">
        <v>24</v>
      </c>
    </row>
    <row r="246" spans="2:26" ht="15.5" x14ac:dyDescent="0.35">
      <c r="C246" t="s">
        <v>21</v>
      </c>
    </row>
    <row r="247" spans="2:26" ht="15.5" x14ac:dyDescent="0.35">
      <c r="C247" t="s">
        <v>220</v>
      </c>
    </row>
    <row r="248" spans="2:26" ht="15.5" x14ac:dyDescent="0.35">
      <c r="C248" t="s">
        <v>221</v>
      </c>
      <c r="I248" s="5">
        <v>77509000000000</v>
      </c>
      <c r="J248" s="5">
        <v>53820000000000</v>
      </c>
      <c r="K248" s="5">
        <v>58115000000000</v>
      </c>
      <c r="L248" s="5">
        <v>33779000000000</v>
      </c>
      <c r="M248" s="5">
        <v>126186000000000</v>
      </c>
      <c r="N248" s="5">
        <v>50979000000000</v>
      </c>
      <c r="O248" s="5">
        <v>51942000000000</v>
      </c>
      <c r="P248" s="5">
        <v>4913000000000</v>
      </c>
      <c r="Q248" s="5">
        <v>9659000000000</v>
      </c>
      <c r="R248" s="5">
        <v>45667000000000</v>
      </c>
      <c r="S248" s="5">
        <v>29459000000000</v>
      </c>
      <c r="T248" s="5">
        <v>35137000000000</v>
      </c>
      <c r="U248" s="5">
        <v>-4190000000000</v>
      </c>
      <c r="V248" s="5">
        <v>27715000000000</v>
      </c>
      <c r="W248" s="5">
        <v>-37229000000000</v>
      </c>
      <c r="X248" s="5">
        <v>2712000000000</v>
      </c>
      <c r="Y248" s="5">
        <v>-18660000000000</v>
      </c>
      <c r="Z248" s="5">
        <v>-1744000000000</v>
      </c>
    </row>
    <row r="249" spans="2:26" ht="15.5" x14ac:dyDescent="0.35">
      <c r="C249" t="s">
        <v>222</v>
      </c>
      <c r="I249" s="5">
        <v>-1915000000000</v>
      </c>
      <c r="J249" s="5">
        <v>-3566000000000</v>
      </c>
      <c r="K249" s="5">
        <v>-4698000000000</v>
      </c>
      <c r="L249" s="5">
        <v>-2631000000000</v>
      </c>
      <c r="M249" s="5">
        <v>-3062000000000</v>
      </c>
      <c r="N249" s="5">
        <v>-2674000000000</v>
      </c>
      <c r="O249" s="5">
        <v>-2675000000000</v>
      </c>
      <c r="P249" s="5">
        <v>-2347000000000</v>
      </c>
      <c r="Q249" s="5">
        <v>-1737000000000</v>
      </c>
      <c r="R249" s="5">
        <v>-2728000000000</v>
      </c>
      <c r="S249" s="5">
        <v>-2533000000000</v>
      </c>
      <c r="T249" s="5">
        <v>-2661000000000</v>
      </c>
      <c r="U249" s="5">
        <v>-2937000000000</v>
      </c>
      <c r="V249" s="5">
        <v>-3212000000000</v>
      </c>
      <c r="W249" s="5">
        <v>-1727000000000</v>
      </c>
      <c r="X249" s="5">
        <v>-1119000000000</v>
      </c>
      <c r="Y249" s="5">
        <v>-930000000000</v>
      </c>
      <c r="Z249" s="5">
        <v>-1014000000000</v>
      </c>
    </row>
    <row r="250" spans="2:26" ht="15.5" x14ac:dyDescent="0.35">
      <c r="C250" t="s">
        <v>13</v>
      </c>
      <c r="I250" s="5">
        <v>75594000000000</v>
      </c>
      <c r="J250" s="5">
        <v>50254000000000</v>
      </c>
      <c r="K250" s="5">
        <v>53418000000000</v>
      </c>
      <c r="L250" s="5">
        <v>31148000000000</v>
      </c>
      <c r="M250" s="5">
        <v>123124000000000</v>
      </c>
      <c r="N250" s="5">
        <v>48305000000000</v>
      </c>
      <c r="O250" s="5">
        <v>49267000000000</v>
      </c>
      <c r="P250" s="5">
        <v>2565000000000</v>
      </c>
      <c r="Q250" s="5">
        <v>7922000000000</v>
      </c>
      <c r="R250" s="5">
        <v>42939000000000</v>
      </c>
      <c r="S250" s="5">
        <v>26926000000000</v>
      </c>
      <c r="T250" s="5">
        <v>32475000000000</v>
      </c>
      <c r="U250" s="5">
        <v>-7127000000000</v>
      </c>
      <c r="V250" s="5">
        <v>24503000000000</v>
      </c>
      <c r="W250" s="5">
        <v>-38956000000000</v>
      </c>
      <c r="X250" s="5">
        <v>1593000000000</v>
      </c>
      <c r="Y250" s="5">
        <v>-19591000000000</v>
      </c>
      <c r="Z250" s="5">
        <v>-2758000000000</v>
      </c>
    </row>
    <row r="251" spans="2:26" ht="15.5" x14ac:dyDescent="0.35">
      <c r="C251" t="s">
        <v>15</v>
      </c>
      <c r="I251" s="6">
        <v>613.21</v>
      </c>
      <c r="J251" s="6">
        <v>407.66</v>
      </c>
      <c r="K251" s="6">
        <v>433.32</v>
      </c>
      <c r="L251" s="6">
        <v>252.67</v>
      </c>
      <c r="M251" s="6">
        <v>998.78</v>
      </c>
      <c r="N251" s="6">
        <v>1959.24</v>
      </c>
      <c r="O251" s="6">
        <v>1998.25</v>
      </c>
      <c r="P251" s="6">
        <v>104.05</v>
      </c>
      <c r="Q251" s="6">
        <v>321.31</v>
      </c>
      <c r="R251" s="6">
        <v>1741.6</v>
      </c>
      <c r="S251" s="6">
        <v>1092.0999999999999</v>
      </c>
      <c r="T251" s="6">
        <v>1317.19</v>
      </c>
      <c r="U251" s="6">
        <v>-289.07</v>
      </c>
      <c r="V251" s="6">
        <v>993.84</v>
      </c>
      <c r="W251" s="6">
        <v>-1580.04</v>
      </c>
      <c r="X251" s="6">
        <v>64.62</v>
      </c>
      <c r="Y251" s="6">
        <v>-794.6</v>
      </c>
      <c r="Z251" s="6">
        <v>-111.87</v>
      </c>
    </row>
    <row r="253" spans="2:26" ht="15.5" x14ac:dyDescent="0.35">
      <c r="B253" t="s">
        <v>223</v>
      </c>
      <c r="C253" t="s">
        <v>224</v>
      </c>
      <c r="D253" s="5">
        <v>14684000000000</v>
      </c>
      <c r="E253" s="5">
        <v>14140000000000</v>
      </c>
      <c r="F253" s="5">
        <v>14381000000000</v>
      </c>
      <c r="G253" s="5">
        <v>14870000000000</v>
      </c>
      <c r="H253" s="5">
        <v>58736000000000</v>
      </c>
      <c r="I253" s="5">
        <v>57537000000000</v>
      </c>
      <c r="J253" s="5">
        <v>54836000000000</v>
      </c>
      <c r="K253" s="5">
        <v>48639000000000</v>
      </c>
      <c r="L253" s="5">
        <v>40736000000000</v>
      </c>
      <c r="M253" s="5">
        <v>31423000000000</v>
      </c>
      <c r="N253" s="5">
        <v>27131000000000</v>
      </c>
      <c r="O253" s="5">
        <v>28565000000000</v>
      </c>
      <c r="P253" s="5">
        <v>25855000000000</v>
      </c>
      <c r="Q253" s="5">
        <v>23310000000000</v>
      </c>
    </row>
    <row r="254" spans="2:26" ht="15.5" x14ac:dyDescent="0.35">
      <c r="C254" t="s">
        <v>225</v>
      </c>
      <c r="H254" s="5">
        <v>58075000000000</v>
      </c>
      <c r="I254" s="5">
        <v>57537000000000</v>
      </c>
      <c r="J254" s="5">
        <v>54836000000000</v>
      </c>
      <c r="K254" s="5">
        <v>48639000000000</v>
      </c>
      <c r="L254" s="5">
        <v>40736000000000</v>
      </c>
      <c r="M254" s="5">
        <v>31423000000000</v>
      </c>
      <c r="N254" s="5">
        <v>27131000000000</v>
      </c>
      <c r="O254" s="5">
        <v>28565000000000</v>
      </c>
      <c r="P254" s="5">
        <v>25855000000000</v>
      </c>
      <c r="Q254" s="5">
        <v>23310000000000</v>
      </c>
    </row>
    <row r="255" spans="2:26" ht="15.5" x14ac:dyDescent="0.35">
      <c r="C255" t="s">
        <v>226</v>
      </c>
      <c r="H255" s="5">
        <v>301</v>
      </c>
      <c r="I255" s="5">
        <v>336</v>
      </c>
      <c r="J255" s="5">
        <v>300</v>
      </c>
      <c r="K255" s="5">
        <v>270</v>
      </c>
      <c r="L255" s="5">
        <v>205</v>
      </c>
      <c r="M255" s="5">
        <v>145</v>
      </c>
      <c r="N255" s="5">
        <v>106</v>
      </c>
      <c r="O255" s="5">
        <v>111</v>
      </c>
      <c r="P255" s="5">
        <v>68</v>
      </c>
      <c r="Q255" s="5">
        <v>51</v>
      </c>
    </row>
    <row r="256" spans="2:26" ht="15.5" x14ac:dyDescent="0.35">
      <c r="C256" t="s">
        <v>60</v>
      </c>
      <c r="H256" s="6">
        <v>0.63170000000000004</v>
      </c>
      <c r="I256" s="6">
        <v>0.71989999999999998</v>
      </c>
      <c r="J256" s="6">
        <v>0.6744</v>
      </c>
      <c r="K256" s="6">
        <v>0.68430000000000002</v>
      </c>
      <c r="L256" s="6">
        <v>0.62039999999999995</v>
      </c>
      <c r="M256" s="6">
        <v>0.56889999999999996</v>
      </c>
      <c r="N256" s="6">
        <v>0.48159999999999997</v>
      </c>
      <c r="O256" s="6">
        <v>0.47899999999999998</v>
      </c>
      <c r="P256" s="6">
        <v>0.32420000000000004</v>
      </c>
      <c r="Q256" s="6">
        <v>0.2697</v>
      </c>
    </row>
    <row r="257" spans="3:17" ht="15.5" x14ac:dyDescent="0.35">
      <c r="C257" t="s">
        <v>227</v>
      </c>
      <c r="H257" s="6">
        <v>5.0799999999999998E-2</v>
      </c>
      <c r="I257" s="6">
        <v>5.0099999999999999E-2</v>
      </c>
      <c r="J257" s="6">
        <v>3.5799999999999998E-2</v>
      </c>
      <c r="K257" s="6">
        <v>2.6699999999999998E-2</v>
      </c>
      <c r="L257" s="6">
        <v>2.3599999999999999E-2</v>
      </c>
      <c r="M257" s="6">
        <v>1.8200000000000001E-2</v>
      </c>
      <c r="N257" s="6">
        <v>1.7000000000000001E-2</v>
      </c>
      <c r="O257" s="6">
        <v>2.07E-2</v>
      </c>
      <c r="P257" s="6">
        <v>1.21E-2</v>
      </c>
      <c r="Q257" s="6">
        <v>1.1000000000000001E-2</v>
      </c>
    </row>
    <row r="258" spans="3:17" ht="15.5" x14ac:dyDescent="0.35">
      <c r="C258" t="s">
        <v>42</v>
      </c>
      <c r="D258" s="6">
        <v>119.12</v>
      </c>
      <c r="E258" s="6">
        <v>114.7</v>
      </c>
      <c r="F258" s="6">
        <v>116.66</v>
      </c>
      <c r="G258" s="6">
        <v>120.63</v>
      </c>
      <c r="H258" s="6">
        <v>476.47</v>
      </c>
      <c r="I258" s="6">
        <v>466.74</v>
      </c>
      <c r="J258" s="6">
        <v>444.83</v>
      </c>
      <c r="K258" s="6">
        <v>394.56</v>
      </c>
      <c r="L258" s="6">
        <v>330.45</v>
      </c>
      <c r="M258" s="6">
        <v>254.9</v>
      </c>
      <c r="N258" s="6">
        <v>220.09</v>
      </c>
      <c r="O258" s="6">
        <v>231.72</v>
      </c>
      <c r="P258" s="6">
        <v>209.74</v>
      </c>
      <c r="Q258" s="6">
        <v>189.09</v>
      </c>
    </row>
    <row r="259" spans="3:17" ht="15.5" x14ac:dyDescent="0.35">
      <c r="C259" t="s">
        <v>228</v>
      </c>
      <c r="H259" s="6">
        <v>471.1</v>
      </c>
      <c r="I259" s="6">
        <v>466.74</v>
      </c>
      <c r="J259" s="6">
        <v>444.83</v>
      </c>
      <c r="K259" s="6">
        <v>394.56</v>
      </c>
      <c r="L259" s="6">
        <v>330.45</v>
      </c>
      <c r="M259" s="6">
        <v>254.9</v>
      </c>
      <c r="N259" s="6">
        <v>220.09</v>
      </c>
      <c r="O259" s="6">
        <v>231.72</v>
      </c>
      <c r="P259" s="6">
        <v>209.74</v>
      </c>
      <c r="Q259" s="6">
        <v>189.09</v>
      </c>
    </row>
    <row r="260" spans="3:17" ht="15.5" x14ac:dyDescent="0.35">
      <c r="C260" t="s">
        <v>62</v>
      </c>
      <c r="H260" s="5">
        <v>301</v>
      </c>
      <c r="I260" s="5">
        <v>336</v>
      </c>
      <c r="J260" s="5">
        <v>300</v>
      </c>
      <c r="K260" s="5">
        <v>270</v>
      </c>
      <c r="L260" s="5">
        <v>205</v>
      </c>
      <c r="M260" s="5">
        <v>145</v>
      </c>
      <c r="N260" s="5">
        <v>106</v>
      </c>
      <c r="O260" s="5">
        <v>111</v>
      </c>
      <c r="P260" s="5">
        <v>68</v>
      </c>
      <c r="Q260" s="5">
        <v>51</v>
      </c>
    </row>
    <row r="261" spans="3:17" ht="15.5" x14ac:dyDescent="0.35">
      <c r="C261" t="s">
        <v>229</v>
      </c>
      <c r="H261" s="6">
        <v>0.63170000000000004</v>
      </c>
      <c r="I261" s="6">
        <v>0.71989999999999998</v>
      </c>
      <c r="J261" s="6">
        <v>0.6744</v>
      </c>
      <c r="K261" s="6">
        <v>0.68430000000000002</v>
      </c>
      <c r="L261" s="6">
        <v>0.62039999999999995</v>
      </c>
      <c r="M261" s="6">
        <v>0.56889999999999996</v>
      </c>
      <c r="N261" s="6">
        <v>0.48159999999999997</v>
      </c>
      <c r="O261" s="6">
        <v>0.47899999999999998</v>
      </c>
      <c r="P261" s="6">
        <v>0.32420000000000004</v>
      </c>
      <c r="Q261" s="6">
        <v>0.2697</v>
      </c>
    </row>
    <row r="262" spans="3:17" ht="15.5" x14ac:dyDescent="0.35">
      <c r="C262" t="s">
        <v>230</v>
      </c>
      <c r="H262" s="6">
        <v>5.0799999999999998E-2</v>
      </c>
      <c r="I262" s="6">
        <v>5.0099999999999999E-2</v>
      </c>
      <c r="J262" s="6">
        <v>3.5799999999999998E-2</v>
      </c>
      <c r="K262" s="6">
        <v>2.6699999999999998E-2</v>
      </c>
      <c r="L262" s="6">
        <v>2.3599999999999999E-2</v>
      </c>
      <c r="M262" s="6">
        <v>1.8200000000000001E-2</v>
      </c>
      <c r="N262" s="6">
        <v>1.7000000000000001E-2</v>
      </c>
      <c r="O262" s="6">
        <v>2.07E-2</v>
      </c>
      <c r="P262" s="6">
        <v>1.21E-2</v>
      </c>
      <c r="Q262" s="6">
        <v>1.1000000000000001E-2</v>
      </c>
    </row>
    <row r="263" spans="3:17" ht="15.5" x14ac:dyDescent="0.35">
      <c r="C263" t="s">
        <v>231</v>
      </c>
      <c r="D263" s="5">
        <v>29654000000000</v>
      </c>
      <c r="E263" s="5">
        <v>27144000000000</v>
      </c>
      <c r="F263" s="5">
        <v>30875000000000</v>
      </c>
      <c r="G263" s="5">
        <v>31528000000000</v>
      </c>
      <c r="H263" s="5">
        <v>118614000000000</v>
      </c>
      <c r="I263" s="5">
        <v>118573000000000</v>
      </c>
      <c r="J263" s="5">
        <v>112776000000000</v>
      </c>
      <c r="K263" s="5">
        <v>104050000000000</v>
      </c>
      <c r="L263" s="5">
        <v>88825000000000</v>
      </c>
      <c r="M263" s="5">
        <v>80307000000000</v>
      </c>
      <c r="N263" s="5">
        <v>78563000000000</v>
      </c>
      <c r="O263" s="5">
        <v>77446000000000</v>
      </c>
      <c r="P263" s="5">
        <v>68763000000000</v>
      </c>
      <c r="Q263" s="5">
        <v>64156000000000</v>
      </c>
    </row>
    <row r="264" spans="3:17" ht="15.5" x14ac:dyDescent="0.35">
      <c r="C264" t="s">
        <v>232</v>
      </c>
      <c r="H264" s="5">
        <v>119201000000000</v>
      </c>
      <c r="I264" s="5">
        <v>118573000000000</v>
      </c>
      <c r="J264" s="5">
        <v>112776000000000</v>
      </c>
      <c r="K264" s="5">
        <v>104050000000000</v>
      </c>
      <c r="L264" s="5">
        <v>88825000000000</v>
      </c>
      <c r="M264" s="5">
        <v>80307000000000</v>
      </c>
      <c r="N264" s="5">
        <v>78563000000000</v>
      </c>
      <c r="O264" s="5">
        <v>77446000000000</v>
      </c>
      <c r="P264" s="5">
        <v>68763000000000</v>
      </c>
      <c r="Q264" s="5">
        <v>64156000000000</v>
      </c>
    </row>
    <row r="265" spans="3:17" ht="15.5" x14ac:dyDescent="0.35">
      <c r="C265" t="s">
        <v>233</v>
      </c>
      <c r="H265" s="5">
        <v>301</v>
      </c>
      <c r="I265" s="5">
        <v>336</v>
      </c>
      <c r="J265" s="5">
        <v>300</v>
      </c>
      <c r="K265" s="5">
        <v>270</v>
      </c>
      <c r="L265" s="5">
        <v>205</v>
      </c>
      <c r="M265" s="5">
        <v>145</v>
      </c>
      <c r="N265" s="5">
        <v>106</v>
      </c>
      <c r="O265" s="5">
        <v>111</v>
      </c>
      <c r="P265" s="5">
        <v>68</v>
      </c>
      <c r="Q265" s="5">
        <v>51</v>
      </c>
    </row>
    <row r="266" spans="3:17" ht="15.5" x14ac:dyDescent="0.35">
      <c r="C266" t="s">
        <v>234</v>
      </c>
      <c r="H266" s="6">
        <v>0.63170000000000004</v>
      </c>
      <c r="I266" s="6">
        <v>0.71989999999999998</v>
      </c>
      <c r="J266" s="6">
        <v>0.6744</v>
      </c>
      <c r="K266" s="6">
        <v>0.68430000000000002</v>
      </c>
      <c r="L266" s="6">
        <v>0.62039999999999995</v>
      </c>
      <c r="M266" s="6">
        <v>0.56889999999999996</v>
      </c>
      <c r="N266" s="6">
        <v>0.48159999999999997</v>
      </c>
      <c r="O266" s="6">
        <v>0.47899999999999998</v>
      </c>
      <c r="P266" s="6">
        <v>0.32420000000000004</v>
      </c>
      <c r="Q266" s="6">
        <v>0.2697</v>
      </c>
    </row>
    <row r="267" spans="3:17" ht="15.5" x14ac:dyDescent="0.35">
      <c r="C267" t="s">
        <v>235</v>
      </c>
      <c r="H267" s="6">
        <v>5.0799999999999998E-2</v>
      </c>
      <c r="I267" s="6">
        <v>5.0099999999999999E-2</v>
      </c>
      <c r="J267" s="6">
        <v>3.5799999999999998E-2</v>
      </c>
      <c r="K267" s="6">
        <v>2.6699999999999998E-2</v>
      </c>
      <c r="L267" s="6">
        <v>2.3599999999999999E-2</v>
      </c>
      <c r="M267" s="6">
        <v>1.8200000000000001E-2</v>
      </c>
      <c r="N267" s="6">
        <v>1.7000000000000001E-2</v>
      </c>
      <c r="O267" s="6">
        <v>2.07E-2</v>
      </c>
      <c r="P267" s="6">
        <v>1.21E-2</v>
      </c>
      <c r="Q267" s="6">
        <v>1.1000000000000001E-2</v>
      </c>
    </row>
    <row r="268" spans="3:17" ht="15.5" x14ac:dyDescent="0.35">
      <c r="C268" t="s">
        <v>236</v>
      </c>
      <c r="I268" s="6">
        <v>12.44</v>
      </c>
    </row>
    <row r="269" spans="3:17" ht="15.5" x14ac:dyDescent="0.35">
      <c r="C269" t="s">
        <v>237</v>
      </c>
      <c r="I269" s="6">
        <v>12.58</v>
      </c>
    </row>
    <row r="270" spans="3:17" ht="15.5" x14ac:dyDescent="0.35">
      <c r="C270" t="s">
        <v>238</v>
      </c>
      <c r="I270" s="6">
        <v>11.57</v>
      </c>
    </row>
    <row r="271" spans="3:17" ht="15.5" x14ac:dyDescent="0.35">
      <c r="C271" t="s">
        <v>239</v>
      </c>
      <c r="I271" s="6">
        <v>7.41</v>
      </c>
    </row>
    <row r="272" spans="3:17" ht="15.5" x14ac:dyDescent="0.35">
      <c r="C272" t="s">
        <v>240</v>
      </c>
      <c r="I272" s="6">
        <v>7.9500000000000001E-2</v>
      </c>
    </row>
    <row r="273" spans="3:9" ht="15.5" x14ac:dyDescent="0.35">
      <c r="C273" t="s">
        <v>241</v>
      </c>
      <c r="I273" s="6">
        <v>6.13</v>
      </c>
    </row>
    <row r="274" spans="3:9" ht="15.5" x14ac:dyDescent="0.35">
      <c r="C274" t="s">
        <v>242</v>
      </c>
      <c r="I274" s="6">
        <v>2.82</v>
      </c>
    </row>
    <row r="275" spans="3:9" ht="15.5" x14ac:dyDescent="0.35">
      <c r="C275" t="s">
        <v>243</v>
      </c>
      <c r="I275" s="6">
        <v>8.09</v>
      </c>
    </row>
    <row r="276" spans="3:9" ht="15.5" x14ac:dyDescent="0.35">
      <c r="C276" t="s">
        <v>244</v>
      </c>
      <c r="I276" s="6">
        <v>8.26</v>
      </c>
    </row>
    <row r="277" spans="3:9" ht="15.5" x14ac:dyDescent="0.35">
      <c r="C277" t="s">
        <v>245</v>
      </c>
      <c r="I277" s="6">
        <v>9.83</v>
      </c>
    </row>
    <row r="278" spans="3:9" ht="15.5" x14ac:dyDescent="0.35">
      <c r="C278" t="s">
        <v>246</v>
      </c>
      <c r="I278" s="6">
        <v>9.48</v>
      </c>
    </row>
    <row r="279" spans="3:9" ht="15.5" x14ac:dyDescent="0.35">
      <c r="C279" t="s">
        <v>247</v>
      </c>
      <c r="I279" s="6">
        <v>2.5499999999999998</v>
      </c>
    </row>
    <row r="280" spans="3:9" ht="15.5" x14ac:dyDescent="0.35">
      <c r="C280" t="s">
        <v>248</v>
      </c>
      <c r="I280" s="6">
        <v>1.03</v>
      </c>
    </row>
    <row r="281" spans="3:9" ht="15.5" x14ac:dyDescent="0.35">
      <c r="C281" t="s">
        <v>364</v>
      </c>
      <c r="I281" s="6">
        <v>6.03</v>
      </c>
    </row>
    <row r="282" spans="3:9" ht="15.5" x14ac:dyDescent="0.35">
      <c r="C282" t="s">
        <v>249</v>
      </c>
      <c r="I282" s="6">
        <v>471.1</v>
      </c>
    </row>
    <row r="283" spans="3:9" ht="15.5" x14ac:dyDescent="0.35">
      <c r="C283" t="s">
        <v>250</v>
      </c>
      <c r="I283" s="6">
        <v>476.47</v>
      </c>
    </row>
    <row r="284" spans="3:9" ht="15.5" x14ac:dyDescent="0.35">
      <c r="C284" t="s">
        <v>251</v>
      </c>
      <c r="I284" s="6">
        <v>966.95</v>
      </c>
    </row>
    <row r="285" spans="3:9" ht="15.5" x14ac:dyDescent="0.35">
      <c r="C285" t="s">
        <v>252</v>
      </c>
      <c r="D285" s="6">
        <v>194.39</v>
      </c>
    </row>
    <row r="286" spans="3:9" ht="15.5" x14ac:dyDescent="0.35">
      <c r="C286" t="s">
        <v>253</v>
      </c>
      <c r="I286" s="6">
        <v>2102.0700000000002</v>
      </c>
    </row>
    <row r="287" spans="3:9" ht="15.5" x14ac:dyDescent="0.35">
      <c r="C287" t="s">
        <v>254</v>
      </c>
      <c r="I287" s="6">
        <v>717.13</v>
      </c>
    </row>
    <row r="288" spans="3:9" ht="15.5" x14ac:dyDescent="0.35">
      <c r="C288" t="s">
        <v>259</v>
      </c>
      <c r="D288" s="6">
        <v>5.33</v>
      </c>
    </row>
    <row r="289" spans="3:9" ht="15.5" x14ac:dyDescent="0.35">
      <c r="C289" t="s">
        <v>261</v>
      </c>
      <c r="D289" s="6">
        <v>6.33</v>
      </c>
    </row>
    <row r="290" spans="3:9" ht="15.5" x14ac:dyDescent="0.35">
      <c r="C290" t="s">
        <v>11</v>
      </c>
      <c r="D290" s="5">
        <v>47682000000000</v>
      </c>
    </row>
    <row r="291" spans="3:9" ht="15.5" x14ac:dyDescent="0.35">
      <c r="C291" t="s">
        <v>263</v>
      </c>
      <c r="I291" s="6">
        <v>0.97</v>
      </c>
    </row>
    <row r="292" spans="3:9" ht="15.5" x14ac:dyDescent="0.35">
      <c r="C292" t="s">
        <v>264</v>
      </c>
      <c r="I292" s="6">
        <v>3.5400000000000001E-2</v>
      </c>
    </row>
    <row r="293" spans="3:9" ht="15.5" x14ac:dyDescent="0.35">
      <c r="C293" t="s">
        <v>265</v>
      </c>
      <c r="I293" s="6">
        <v>0.22409999999999999</v>
      </c>
    </row>
    <row r="294" spans="3:9" ht="15.5" x14ac:dyDescent="0.35">
      <c r="C294" t="s">
        <v>266</v>
      </c>
      <c r="I294" s="6">
        <v>4.4500000000000005E-2</v>
      </c>
    </row>
    <row r="295" spans="3:9" ht="15.5" x14ac:dyDescent="0.35">
      <c r="C295" t="s">
        <v>267</v>
      </c>
      <c r="I295" s="6">
        <v>0.21460000000000001</v>
      </c>
    </row>
    <row r="296" spans="3:9" ht="15.5" x14ac:dyDescent="0.35">
      <c r="C296" t="s">
        <v>273</v>
      </c>
      <c r="I296" s="6">
        <v>7.0000000000000007E-2</v>
      </c>
    </row>
    <row r="297" spans="3:9" ht="15.5" x14ac:dyDescent="0.35">
      <c r="C297" t="s">
        <v>38</v>
      </c>
      <c r="I297" s="5">
        <v>730405000000000</v>
      </c>
    </row>
    <row r="298" spans="3:9" ht="15.5" x14ac:dyDescent="0.35">
      <c r="C298" t="s">
        <v>275</v>
      </c>
      <c r="I298" s="5">
        <v>706900000000000</v>
      </c>
    </row>
    <row r="299" spans="3:9" ht="15.5" x14ac:dyDescent="0.35">
      <c r="C299" t="s">
        <v>276</v>
      </c>
      <c r="I299" s="5">
        <v>123280000000</v>
      </c>
    </row>
    <row r="300" spans="3:9" ht="15.5" x14ac:dyDescent="0.35">
      <c r="C300" t="s">
        <v>277</v>
      </c>
      <c r="I300" s="6">
        <v>0.42460000000000003</v>
      </c>
    </row>
    <row r="301" spans="3:9" ht="15.5" x14ac:dyDescent="0.35">
      <c r="C301" t="s">
        <v>278</v>
      </c>
      <c r="D301" s="6">
        <v>0.88249999999999995</v>
      </c>
    </row>
    <row r="302" spans="3:9" ht="15.5" x14ac:dyDescent="0.35">
      <c r="C302" t="s">
        <v>279</v>
      </c>
      <c r="D302" s="6">
        <v>0.60960000000000003</v>
      </c>
    </row>
    <row r="303" spans="3:9" ht="15.5" x14ac:dyDescent="0.35">
      <c r="C303" t="s">
        <v>280</v>
      </c>
      <c r="D303" s="6">
        <v>0.49520000000000003</v>
      </c>
    </row>
    <row r="304" spans="3:9" ht="15.5" x14ac:dyDescent="0.35">
      <c r="C304" t="s">
        <v>281</v>
      </c>
      <c r="D304" s="6">
        <v>2.1600000000000001E-2</v>
      </c>
    </row>
    <row r="305" spans="3:9" ht="15.5" x14ac:dyDescent="0.35">
      <c r="C305" t="s">
        <v>282</v>
      </c>
      <c r="D305" s="6">
        <v>1.52E-2</v>
      </c>
    </row>
    <row r="306" spans="3:9" ht="15.5" x14ac:dyDescent="0.35">
      <c r="C306" t="s">
        <v>283</v>
      </c>
      <c r="D306" s="6">
        <v>3.7999999999999999E-2</v>
      </c>
    </row>
    <row r="307" spans="3:9" ht="15.5" x14ac:dyDescent="0.35">
      <c r="C307" t="s">
        <v>284</v>
      </c>
      <c r="I307" s="5">
        <v>281</v>
      </c>
    </row>
    <row r="308" spans="3:9" ht="15.5" x14ac:dyDescent="0.35">
      <c r="C308" t="s">
        <v>285</v>
      </c>
      <c r="I308" s="5">
        <v>301</v>
      </c>
    </row>
    <row r="309" spans="3:9" ht="15.5" x14ac:dyDescent="0.35">
      <c r="C309" t="s">
        <v>286</v>
      </c>
      <c r="I309" s="6">
        <v>0.63170000000000004</v>
      </c>
    </row>
    <row r="310" spans="3:9" ht="15.5" x14ac:dyDescent="0.35">
      <c r="C310" t="s">
        <v>287</v>
      </c>
      <c r="I310" s="6">
        <v>5.0799999999999998E-2</v>
      </c>
    </row>
    <row r="311" spans="3:9" ht="15.5" x14ac:dyDescent="0.35">
      <c r="C311" t="s">
        <v>288</v>
      </c>
      <c r="I311" t="s">
        <v>529</v>
      </c>
    </row>
    <row r="312" spans="3:9" ht="15.5" x14ac:dyDescent="0.35">
      <c r="C312" t="s">
        <v>290</v>
      </c>
      <c r="I312" s="5">
        <v>5</v>
      </c>
    </row>
    <row r="313" spans="3:9" ht="15.5" x14ac:dyDescent="0.35">
      <c r="C313" t="s">
        <v>434</v>
      </c>
      <c r="I313" s="6">
        <v>0.12</v>
      </c>
    </row>
    <row r="314" spans="3:9" ht="15.5" x14ac:dyDescent="0.35">
      <c r="C314" t="s">
        <v>291</v>
      </c>
      <c r="I314" s="6">
        <v>0.22</v>
      </c>
    </row>
    <row r="315" spans="3:9" ht="15.5" x14ac:dyDescent="0.35">
      <c r="C315" t="s">
        <v>292</v>
      </c>
      <c r="I315" s="5">
        <v>1</v>
      </c>
    </row>
    <row r="316" spans="3:9" ht="15.5" x14ac:dyDescent="0.35">
      <c r="C316" t="s">
        <v>293</v>
      </c>
      <c r="I316" s="6">
        <v>0.54</v>
      </c>
    </row>
    <row r="317" spans="3:9" ht="15.5" x14ac:dyDescent="0.35">
      <c r="C317" t="s">
        <v>366</v>
      </c>
      <c r="I317" s="6">
        <v>0.55000000000000004</v>
      </c>
    </row>
    <row r="318" spans="3:9" ht="15.5" x14ac:dyDescent="0.35">
      <c r="C318" t="s">
        <v>294</v>
      </c>
      <c r="I318" s="6">
        <v>0.19</v>
      </c>
    </row>
    <row r="319" spans="3:9" ht="15.5" x14ac:dyDescent="0.35">
      <c r="C319" t="s">
        <v>295</v>
      </c>
      <c r="I319" s="6">
        <v>0.23</v>
      </c>
    </row>
    <row r="320" spans="3:9" ht="15.5" x14ac:dyDescent="0.35">
      <c r="C320" t="s">
        <v>296</v>
      </c>
      <c r="I320" s="6">
        <v>0.67</v>
      </c>
    </row>
    <row r="321" spans="3:9" ht="15.5" x14ac:dyDescent="0.35">
      <c r="C321" t="s">
        <v>297</v>
      </c>
      <c r="I321" s="5">
        <v>119201000000000</v>
      </c>
    </row>
    <row r="322" spans="3:9" ht="15.5" x14ac:dyDescent="0.35">
      <c r="C322" t="s">
        <v>298</v>
      </c>
      <c r="I322" s="5">
        <v>105601000000000</v>
      </c>
    </row>
    <row r="323" spans="3:9" ht="15.5" x14ac:dyDescent="0.35">
      <c r="C323" t="s">
        <v>299</v>
      </c>
      <c r="I323" s="5">
        <v>74572000000000</v>
      </c>
    </row>
    <row r="324" spans="3:9" ht="15.5" x14ac:dyDescent="0.35">
      <c r="C324" t="s">
        <v>300</v>
      </c>
      <c r="I324" s="5">
        <v>58075000000000</v>
      </c>
    </row>
    <row r="325" spans="3:9" ht="15.5" x14ac:dyDescent="0.35">
      <c r="C325" t="s">
        <v>301</v>
      </c>
      <c r="D325" s="5">
        <v>23964000000000</v>
      </c>
    </row>
    <row r="326" spans="3:9" ht="15.5" x14ac:dyDescent="0.35">
      <c r="C326" t="s">
        <v>302</v>
      </c>
      <c r="D326" s="5">
        <v>1640831000000000</v>
      </c>
    </row>
    <row r="327" spans="3:9" ht="15.5" x14ac:dyDescent="0.35">
      <c r="C327" t="s">
        <v>303</v>
      </c>
      <c r="D327" s="5">
        <v>1381472000000000</v>
      </c>
    </row>
    <row r="328" spans="3:9" ht="15.5" x14ac:dyDescent="0.35">
      <c r="C328" t="s">
        <v>207</v>
      </c>
      <c r="I328" s="5">
        <v>259132000000000</v>
      </c>
    </row>
    <row r="329" spans="3:9" ht="15.5" x14ac:dyDescent="0.35">
      <c r="C329" t="s">
        <v>304</v>
      </c>
      <c r="I329" s="5">
        <v>259359000000000</v>
      </c>
    </row>
    <row r="330" spans="3:9" ht="15.5" x14ac:dyDescent="0.35">
      <c r="C330" t="s">
        <v>305</v>
      </c>
      <c r="I330" s="5">
        <v>90246000000000</v>
      </c>
    </row>
    <row r="331" spans="3:9" ht="15.5" x14ac:dyDescent="0.35">
      <c r="C331" t="s">
        <v>306</v>
      </c>
      <c r="I331" s="5">
        <v>-46377000000000</v>
      </c>
    </row>
    <row r="332" spans="3:9" ht="15.5" x14ac:dyDescent="0.35">
      <c r="C332" t="s">
        <v>307</v>
      </c>
      <c r="I332" s="5">
        <v>-42779000000000</v>
      </c>
    </row>
    <row r="333" spans="3:9" ht="15.5" x14ac:dyDescent="0.35">
      <c r="C333" t="s">
        <v>308</v>
      </c>
      <c r="I333" s="5">
        <v>-1842000000000</v>
      </c>
    </row>
    <row r="334" spans="3:9" ht="15.5" x14ac:dyDescent="0.35">
      <c r="C334" t="s">
        <v>309</v>
      </c>
      <c r="I334" s="5">
        <v>88404000000000</v>
      </c>
    </row>
  </sheetData>
  <pageMargins left="0.7" right="0.7" top="0.75" bottom="0.75" header="0.3" footer="0.3"/>
  <ignoredErrors>
    <ignoredError sqref="A1:Z1 A3:Z335 A2:B2 D2:Z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365"/>
  <sheetViews>
    <sheetView topLeftCell="C1" workbookViewId="0">
      <selection activeCell="C2" sqref="C2"/>
    </sheetView>
  </sheetViews>
  <sheetFormatPr defaultRowHeight="14.5" x14ac:dyDescent="0.35"/>
  <cols>
    <col min="1" max="1" width="38.83203125" customWidth="1"/>
    <col min="2" max="2" width="28.83203125" customWidth="1"/>
    <col min="3" max="3" width="32.83203125" customWidth="1"/>
    <col min="4" max="26" width="18.83203125" customWidth="1"/>
  </cols>
  <sheetData>
    <row r="1" spans="1:26" ht="15.5" x14ac:dyDescent="0.35">
      <c r="C1" t="s">
        <v>530</v>
      </c>
      <c r="D1" t="s">
        <v>1</v>
      </c>
      <c r="H1" t="s">
        <v>2</v>
      </c>
      <c r="I1" s="1">
        <v>46021.000138888892</v>
      </c>
      <c r="J1" s="1">
        <v>45656.000138888892</v>
      </c>
      <c r="K1" s="1">
        <v>45289.000138888892</v>
      </c>
      <c r="L1" s="1">
        <v>44925.000138888892</v>
      </c>
      <c r="M1" s="1">
        <v>44560.000138888892</v>
      </c>
      <c r="N1" s="1">
        <v>44195.000138888892</v>
      </c>
      <c r="O1" s="1">
        <v>43829.000138888892</v>
      </c>
      <c r="P1" s="1">
        <v>43462.000138888892</v>
      </c>
      <c r="Q1" s="1">
        <v>43098.000138888892</v>
      </c>
      <c r="R1" s="1">
        <v>42734.000138888892</v>
      </c>
      <c r="S1" s="1">
        <v>42368.000138888892</v>
      </c>
      <c r="T1" s="1">
        <v>42003.000138888892</v>
      </c>
      <c r="U1" s="1">
        <v>41638.000138888892</v>
      </c>
      <c r="V1" s="1">
        <v>41271.000138888892</v>
      </c>
      <c r="W1" s="1">
        <v>40907.000138888892</v>
      </c>
      <c r="X1" s="1">
        <v>40542.000138888892</v>
      </c>
      <c r="Y1" s="1">
        <v>40176.000138888892</v>
      </c>
      <c r="Z1" s="1">
        <v>39812.000138888892</v>
      </c>
    </row>
    <row r="2" spans="1:26" ht="15.5" x14ac:dyDescent="0.35">
      <c r="C2" t="e" vm="64">
        <v>#VALUE!</v>
      </c>
      <c r="D2" s="2" vm="65">
        <f ca="1">IFERROR(_xlfn.STOCKHISTORY("XIDX:" &amp; $C$1, D3, , 0, 0, 1), "Libur")</f>
        <v>2990</v>
      </c>
      <c r="H2" s="2">
        <f ca="1">_FV(C2,"Price")</f>
        <v>2850</v>
      </c>
      <c r="I2" s="2" vm="66">
        <f t="shared" ref="I2:Z2" ca="1" si="0">IFERROR(_xlfn.STOCKHISTORY("XIDX:" &amp; $C$1, I1, , 0, 0, 1), "Libur")</f>
        <v>3660</v>
      </c>
      <c r="J2" s="2" vm="67">
        <f t="shared" ca="1" si="0"/>
        <v>4080</v>
      </c>
      <c r="K2" s="2" vm="68">
        <f t="shared" ca="1" si="0"/>
        <v>5725</v>
      </c>
      <c r="L2" s="2" vm="69">
        <f t="shared" ca="1" si="0"/>
        <v>4940</v>
      </c>
      <c r="M2" s="2" vm="70">
        <f t="shared" ca="1" si="0"/>
        <v>4110</v>
      </c>
      <c r="N2" s="2" vm="71">
        <f t="shared" ca="1" si="0"/>
        <v>4170</v>
      </c>
      <c r="O2" s="2" vm="72">
        <f t="shared" ca="1" si="0"/>
        <v>4400</v>
      </c>
      <c r="P2" s="2" vm="66">
        <f t="shared" ca="1" si="0"/>
        <v>3660</v>
      </c>
      <c r="Q2" s="2" vm="73">
        <f t="shared" ca="1" si="0"/>
        <v>3640</v>
      </c>
      <c r="R2" s="2" vm="74">
        <f t="shared" ca="1" si="0"/>
        <v>2335</v>
      </c>
      <c r="S2" s="2" vm="75">
        <f t="shared" ca="1" si="0"/>
        <v>2285</v>
      </c>
      <c r="T2" s="2" vm="76">
        <f t="shared" ca="1" si="0"/>
        <v>2330</v>
      </c>
      <c r="U2" s="2" vm="77">
        <f t="shared" ca="1" si="0"/>
        <v>1450</v>
      </c>
      <c r="V2" s="2" vm="78">
        <f t="shared" ca="1" si="0"/>
        <v>1390</v>
      </c>
      <c r="W2" s="2" vm="79">
        <f t="shared" ca="1" si="0"/>
        <v>1350</v>
      </c>
      <c r="X2" s="2" vm="80">
        <f t="shared" ca="1" si="0"/>
        <v>1050</v>
      </c>
      <c r="Y2" s="2" vm="81">
        <f t="shared" ca="1" si="0"/>
        <v>760</v>
      </c>
      <c r="Z2" s="2" vm="82">
        <f t="shared" ca="1" si="0"/>
        <v>457.5</v>
      </c>
    </row>
    <row r="3" spans="1:26" ht="15.5" x14ac:dyDescent="0.35">
      <c r="D3" s="1">
        <v>46142.000138888892</v>
      </c>
    </row>
    <row r="4" spans="1:26" ht="15.5" x14ac:dyDescent="0.35">
      <c r="B4" t="s">
        <v>3</v>
      </c>
      <c r="C4" t="s">
        <v>4</v>
      </c>
      <c r="D4" s="2">
        <f>IFERROR(INDEX(D51:D500,MATCH($C$4,$C$51:$C$500,0)),"")</f>
        <v>52838024000000</v>
      </c>
      <c r="H4" s="2">
        <f>IFERROR(SUM(D4:G4)*(4/MAX(1,COUNT(D4:G4))),"")</f>
        <v>211352096000000</v>
      </c>
      <c r="I4" s="2">
        <f t="shared" ref="I4:Z4" si="1">IFERROR(INDEX(I51:I500,MATCH($C$4,$C$51:$C$500,0)),"")</f>
        <v>207783368000000</v>
      </c>
      <c r="J4" s="2">
        <f t="shared" si="1"/>
        <v>199266252000000</v>
      </c>
      <c r="K4" s="2">
        <f t="shared" si="1"/>
        <v>188074847000000</v>
      </c>
      <c r="L4" s="2">
        <f t="shared" si="1"/>
        <v>160811811000000</v>
      </c>
      <c r="M4" s="2">
        <f t="shared" si="1"/>
        <v>150513112000000</v>
      </c>
      <c r="N4" s="2">
        <f t="shared" si="1"/>
        <v>141970336000000</v>
      </c>
      <c r="O4" s="2">
        <f t="shared" si="1"/>
        <v>127130033000000</v>
      </c>
      <c r="P4" s="2">
        <f t="shared" si="1"/>
        <v>115761017000000</v>
      </c>
      <c r="Q4" s="2">
        <f t="shared" si="1"/>
        <v>106688257000000</v>
      </c>
      <c r="R4" s="2">
        <f t="shared" si="1"/>
        <v>97262568000000</v>
      </c>
      <c r="S4" s="2">
        <f t="shared" si="1"/>
        <v>85434037000000</v>
      </c>
      <c r="T4" s="2">
        <f t="shared" si="1"/>
        <v>75122213000000</v>
      </c>
      <c r="U4" s="2">
        <f t="shared" si="1"/>
        <v>59461084000000</v>
      </c>
      <c r="V4" s="2">
        <f t="shared" si="1"/>
        <v>49610421000000</v>
      </c>
      <c r="W4" s="2">
        <f t="shared" si="1"/>
        <v>48164348000000</v>
      </c>
      <c r="X4" s="2">
        <f t="shared" si="1"/>
        <v>44615162000000</v>
      </c>
      <c r="Y4" s="2">
        <f t="shared" si="1"/>
        <v>35334131000000</v>
      </c>
      <c r="Z4" s="2">
        <f t="shared" si="1"/>
        <v>28096633000000</v>
      </c>
    </row>
    <row r="5" spans="1:26" ht="15.5" x14ac:dyDescent="0.35">
      <c r="B5" t="s">
        <v>5</v>
      </c>
      <c r="C5" t="s">
        <v>6</v>
      </c>
      <c r="D5" s="2">
        <f>IFERROR(INDEX(D51:D500,MATCH($C$5,$C$51:$C$500,0)),"")</f>
        <v>13790415000000</v>
      </c>
      <c r="H5" s="2">
        <f>IFERROR(SUM(D5:G5)*(4/MAX(1,COUNT(D5:G5))),"")</f>
        <v>55161660000000</v>
      </c>
      <c r="I5" s="2">
        <f t="shared" ref="I5:Z5" si="2">IFERROR(INDEX(I51:I500,MATCH($C$5,$C$51:$C$500,0)),"")</f>
        <v>59265589000000</v>
      </c>
      <c r="J5" s="2">
        <f t="shared" si="2"/>
        <v>61620303000000</v>
      </c>
      <c r="K5" s="2">
        <f t="shared" si="2"/>
        <v>60708390000000</v>
      </c>
      <c r="L5" s="2">
        <f t="shared" si="2"/>
        <v>48333349000000</v>
      </c>
      <c r="M5" s="2">
        <f t="shared" si="2"/>
        <v>27855902000000</v>
      </c>
      <c r="N5" s="2">
        <f t="shared" si="2"/>
        <v>21727515000000</v>
      </c>
      <c r="O5" s="2">
        <f t="shared" si="2"/>
        <v>39403628000000</v>
      </c>
      <c r="P5" s="2">
        <f t="shared" si="2"/>
        <v>28910721000000</v>
      </c>
      <c r="Q5" s="2">
        <f t="shared" si="2"/>
        <v>30805784000000</v>
      </c>
      <c r="R5" s="2">
        <f t="shared" si="2"/>
        <v>41340376000000</v>
      </c>
      <c r="S5" s="2">
        <f t="shared" si="2"/>
        <v>24861081000000</v>
      </c>
      <c r="T5" s="2">
        <f t="shared" si="2"/>
        <v>24744791000000</v>
      </c>
      <c r="U5" s="2">
        <f t="shared" si="2"/>
        <v>19913198000000</v>
      </c>
      <c r="V5" s="2">
        <f t="shared" si="2"/>
        <v>18652098000000</v>
      </c>
      <c r="W5" s="2">
        <f t="shared" si="2"/>
        <v>15288295000000</v>
      </c>
      <c r="X5" s="2">
        <f t="shared" si="2"/>
        <v>0</v>
      </c>
      <c r="Y5" s="2">
        <f t="shared" si="2"/>
        <v>0</v>
      </c>
      <c r="Z5" s="2">
        <f t="shared" si="2"/>
        <v>0</v>
      </c>
    </row>
    <row r="6" spans="1:26" ht="15.5" x14ac:dyDescent="0.35">
      <c r="B6" t="s">
        <v>7</v>
      </c>
      <c r="C6" t="s">
        <v>8</v>
      </c>
      <c r="D6" s="2">
        <f>IFERROR(INDEX(D51:D500,MATCH($C$6,$C$51:$C$500,0)),"")</f>
        <v>345062054000000</v>
      </c>
      <c r="H6" s="2">
        <f>IFERROR(INDEX(D6:G6,COUNT(D6:G6)),"")</f>
        <v>345062054000000</v>
      </c>
      <c r="I6" s="2">
        <f t="shared" ref="I6:Z6" si="3">IFERROR(INDEX(I51:I500,MATCH($C$6,$C$51:$C$500,0)),"")</f>
        <v>330941434000000</v>
      </c>
      <c r="J6" s="2">
        <f t="shared" si="3"/>
        <v>323315016000000</v>
      </c>
      <c r="K6" s="2">
        <f t="shared" si="3"/>
        <v>316472142000000</v>
      </c>
      <c r="L6" s="2">
        <f t="shared" si="3"/>
        <v>303395317000000</v>
      </c>
      <c r="M6" s="2">
        <f t="shared" si="3"/>
        <v>291786804000000</v>
      </c>
      <c r="N6" s="2">
        <f t="shared" si="3"/>
        <v>199911376000000</v>
      </c>
      <c r="O6" s="2">
        <f t="shared" si="3"/>
        <v>208784336000000</v>
      </c>
      <c r="P6" s="2">
        <f t="shared" si="3"/>
        <v>185275331000000</v>
      </c>
      <c r="Q6" s="2">
        <f t="shared" si="3"/>
        <v>167347494000000</v>
      </c>
      <c r="R6" s="2">
        <f t="shared" si="3"/>
        <v>146812590000000</v>
      </c>
      <c r="S6" s="2">
        <f t="shared" si="3"/>
        <v>113127179000000</v>
      </c>
      <c r="T6" s="2">
        <f t="shared" si="3"/>
        <v>97737429000000</v>
      </c>
      <c r="U6" s="2">
        <f t="shared" si="3"/>
        <v>79327422000000</v>
      </c>
      <c r="V6" s="2">
        <f t="shared" si="3"/>
        <v>64881779000000</v>
      </c>
      <c r="W6" s="2">
        <f t="shared" si="3"/>
        <v>49820329000000</v>
      </c>
      <c r="X6" s="2">
        <f t="shared" si="3"/>
        <v>36673110000000</v>
      </c>
      <c r="Y6" s="2">
        <f t="shared" si="3"/>
        <v>27257381000000</v>
      </c>
      <c r="Z6" s="2">
        <f t="shared" si="3"/>
        <v>22356697000000</v>
      </c>
    </row>
    <row r="7" spans="1:26" ht="15.5" x14ac:dyDescent="0.35">
      <c r="B7" t="s">
        <v>9</v>
      </c>
      <c r="C7" t="s">
        <v>10</v>
      </c>
      <c r="D7" s="3">
        <f>IFERROR(INDEX(D51:D500,MATCH($C$7,$C$51:$C$500,0))/1000000000,"")</f>
        <v>151.56</v>
      </c>
      <c r="H7" s="3">
        <f>IFERROR(INDEX(D7:G7,COUNT(D7:G7)),"")</f>
        <v>151.56</v>
      </c>
      <c r="I7" s="3">
        <f t="shared" ref="I7:Z7" si="4">IFERROR(INDEX(I51:I500,MATCH($C$7,$C$51:$C$500,0))/1000000000,"")</f>
        <v>151.56</v>
      </c>
      <c r="J7" s="3">
        <f t="shared" si="4"/>
        <v>151.56</v>
      </c>
      <c r="K7" s="3">
        <f t="shared" si="4"/>
        <v>151.56</v>
      </c>
      <c r="L7" s="3">
        <f t="shared" si="4"/>
        <v>151.56</v>
      </c>
      <c r="M7" s="3">
        <f t="shared" si="4"/>
        <v>151.56</v>
      </c>
      <c r="N7" s="3">
        <f t="shared" si="4"/>
        <v>123.35</v>
      </c>
      <c r="O7" s="3">
        <f t="shared" si="4"/>
        <v>123.35</v>
      </c>
      <c r="P7" s="3">
        <f t="shared" si="4"/>
        <v>123.35</v>
      </c>
      <c r="Q7" s="3">
        <f t="shared" si="4"/>
        <v>123.35</v>
      </c>
      <c r="R7" s="3">
        <f t="shared" si="4"/>
        <v>24.67</v>
      </c>
      <c r="S7" s="3">
        <f t="shared" si="4"/>
        <v>24.67</v>
      </c>
      <c r="T7" s="3">
        <f t="shared" si="4"/>
        <v>24.67</v>
      </c>
      <c r="U7" s="3">
        <f t="shared" si="4"/>
        <v>24.67</v>
      </c>
      <c r="V7" s="3">
        <f t="shared" si="4"/>
        <v>24.67</v>
      </c>
      <c r="W7" s="3">
        <f t="shared" si="4"/>
        <v>24.67</v>
      </c>
      <c r="X7" s="3">
        <f t="shared" si="4"/>
        <v>12.33</v>
      </c>
      <c r="Y7" s="3">
        <f t="shared" si="4"/>
        <v>12.33</v>
      </c>
      <c r="Z7" s="3">
        <f t="shared" si="4"/>
        <v>12.33</v>
      </c>
    </row>
    <row r="8" spans="1:26" ht="15.5" x14ac:dyDescent="0.35">
      <c r="A8" t="s">
        <v>11</v>
      </c>
      <c r="B8" t="s">
        <v>12</v>
      </c>
      <c r="C8" t="s">
        <v>13</v>
      </c>
      <c r="D8" s="2">
        <f>IFERROR(INDEX(D51:D500,MATCH("Free cash flow (Quarter)",$C$51:$C$500,0)),"")</f>
        <v>48988000000000</v>
      </c>
      <c r="H8" s="2">
        <f>IFERROR(INDEX(D8:G8,COUNT(D8:G8)),"")</f>
        <v>48988000000000</v>
      </c>
      <c r="I8" s="2">
        <f t="shared" ref="I8:Z8" si="5">IFERROR(INDEX(I51:I500,MATCH($C$8,$C$51:$C$500,0)),"")</f>
        <v>8273000000000</v>
      </c>
      <c r="J8" s="2">
        <f t="shared" si="5"/>
        <v>13949000000000</v>
      </c>
      <c r="K8" s="2">
        <f t="shared" si="5"/>
        <v>-13149000000000</v>
      </c>
      <c r="L8" s="2">
        <f t="shared" si="5"/>
        <v>86968000000000</v>
      </c>
      <c r="M8" s="2">
        <f t="shared" si="5"/>
        <v>24334000000000</v>
      </c>
      <c r="N8" s="2">
        <f t="shared" si="5"/>
        <v>63560000000000</v>
      </c>
      <c r="O8" s="2">
        <f t="shared" si="5"/>
        <v>40888000000000</v>
      </c>
      <c r="P8" s="2">
        <f t="shared" si="5"/>
        <v>55440000000000</v>
      </c>
      <c r="Q8" s="2">
        <f t="shared" si="5"/>
        <v>37293000000000</v>
      </c>
      <c r="R8" s="2">
        <f t="shared" si="5"/>
        <v>18118000000000</v>
      </c>
      <c r="S8" s="2">
        <f t="shared" si="5"/>
        <v>42260000000000</v>
      </c>
      <c r="T8" s="2">
        <f t="shared" si="5"/>
        <v>72758000000000</v>
      </c>
      <c r="U8" s="2">
        <f t="shared" si="5"/>
        <v>-2438000000000</v>
      </c>
      <c r="V8" s="2">
        <f t="shared" si="5"/>
        <v>-25813000000000</v>
      </c>
      <c r="W8" s="2">
        <f t="shared" si="5"/>
        <v>14950000000000</v>
      </c>
      <c r="X8" s="2">
        <f t="shared" si="5"/>
        <v>44302000000000</v>
      </c>
      <c r="Y8" s="2">
        <f t="shared" si="5"/>
        <v>1065000000000</v>
      </c>
      <c r="Z8" s="2">
        <f t="shared" si="5"/>
        <v>-16437000000000</v>
      </c>
    </row>
    <row r="9" spans="1:26" ht="15.5" x14ac:dyDescent="0.35">
      <c r="A9" t="s">
        <v>14</v>
      </c>
      <c r="C9" t="s">
        <v>15</v>
      </c>
      <c r="D9" s="3">
        <f>IFERROR(INDEX(D51:D500,MATCH("Free cash flow per share (Quarter)",$C$51:$C$500,0)),"")</f>
        <v>323.23</v>
      </c>
      <c r="H9" s="3">
        <f>IFERROR(INDEX(D9:G9,COUNT(D9:G9)),"")</f>
        <v>323.23</v>
      </c>
      <c r="I9" s="3">
        <f t="shared" ref="I9:Z9" si="6">IFERROR(INDEX(I51:I500,MATCH($C$9,$C$51:$C$500,0)),"")</f>
        <v>54.58</v>
      </c>
      <c r="J9" s="3">
        <f t="shared" si="6"/>
        <v>92.03</v>
      </c>
      <c r="K9" s="3">
        <f t="shared" si="6"/>
        <v>-86.76</v>
      </c>
      <c r="L9" s="3">
        <f t="shared" si="6"/>
        <v>573.82000000000005</v>
      </c>
      <c r="M9" s="3">
        <f t="shared" si="6"/>
        <v>160.56</v>
      </c>
      <c r="N9" s="3">
        <f t="shared" si="6"/>
        <v>515.29999999999995</v>
      </c>
      <c r="O9" s="3">
        <f t="shared" si="6"/>
        <v>331.49</v>
      </c>
      <c r="P9" s="3">
        <f t="shared" si="6"/>
        <v>449.47</v>
      </c>
      <c r="Q9" s="3">
        <f t="shared" si="6"/>
        <v>302.33999999999997</v>
      </c>
      <c r="R9" s="3">
        <f t="shared" si="6"/>
        <v>734.43</v>
      </c>
      <c r="S9" s="3">
        <f t="shared" si="6"/>
        <v>1713.05</v>
      </c>
      <c r="T9" s="3">
        <f t="shared" si="6"/>
        <v>2949.35</v>
      </c>
      <c r="U9" s="3">
        <f t="shared" si="6"/>
        <v>-98.85</v>
      </c>
      <c r="V9" s="3">
        <f t="shared" si="6"/>
        <v>-1046.3499999999999</v>
      </c>
      <c r="W9" s="3">
        <f t="shared" si="6"/>
        <v>606.02</v>
      </c>
      <c r="X9" s="3">
        <f t="shared" si="6"/>
        <v>3591.65</v>
      </c>
      <c r="Y9" s="3">
        <f t="shared" si="6"/>
        <v>86.39</v>
      </c>
      <c r="Z9" s="3">
        <f t="shared" si="6"/>
        <v>-1333.63</v>
      </c>
    </row>
    <row r="10" spans="1:26" ht="15.5" x14ac:dyDescent="0.35">
      <c r="C10" t="s">
        <v>16</v>
      </c>
      <c r="D10" s="3">
        <f ca="1">IFERROR(IF(D9=0,"",D2/D9),"")</f>
        <v>9.2503789870989692</v>
      </c>
      <c r="I10" s="3">
        <f t="shared" ref="I10:Z10" ca="1" si="7">IFERROR(IF(I9=0,"",I2/I9),"")</f>
        <v>67.0575302308538</v>
      </c>
      <c r="J10" s="3">
        <f t="shared" ca="1" si="7"/>
        <v>44.333369553406499</v>
      </c>
      <c r="K10" s="3">
        <f t="shared" ca="1" si="7"/>
        <v>-65.986629783310278</v>
      </c>
      <c r="L10" s="3">
        <f t="shared" ca="1" si="7"/>
        <v>8.608971454463072</v>
      </c>
      <c r="M10" s="3">
        <f t="shared" ca="1" si="7"/>
        <v>25.597907324364723</v>
      </c>
      <c r="N10" s="3">
        <f t="shared" ca="1" si="7"/>
        <v>8.0923733747331656</v>
      </c>
      <c r="O10" s="3">
        <f t="shared" ca="1" si="7"/>
        <v>13.273401912576547</v>
      </c>
      <c r="P10" s="3">
        <f t="shared" ca="1" si="7"/>
        <v>8.1429238881349146</v>
      </c>
      <c r="Q10" s="3">
        <f t="shared" ca="1" si="7"/>
        <v>12.039425811999736</v>
      </c>
      <c r="R10" s="3">
        <f t="shared" ca="1" si="7"/>
        <v>3.1793363560856722</v>
      </c>
      <c r="S10" s="3">
        <f t="shared" ca="1" si="7"/>
        <v>1.3338781705145792</v>
      </c>
      <c r="T10" s="3">
        <f t="shared" ca="1" si="7"/>
        <v>0.79000457727973961</v>
      </c>
      <c r="U10" s="3">
        <f t="shared" ca="1" si="7"/>
        <v>-14.668689934243805</v>
      </c>
      <c r="V10" s="3">
        <f t="shared" ca="1" si="7"/>
        <v>-1.3284273904525257</v>
      </c>
      <c r="W10" s="3">
        <f t="shared" ca="1" si="7"/>
        <v>2.2276492524999174</v>
      </c>
      <c r="X10" s="3">
        <f t="shared" ca="1" si="7"/>
        <v>0.29234474405913718</v>
      </c>
      <c r="Y10" s="3">
        <f t="shared" ca="1" si="7"/>
        <v>8.7973145039935172</v>
      </c>
      <c r="Z10" s="3">
        <f t="shared" ca="1" si="7"/>
        <v>-0.34304867167055325</v>
      </c>
    </row>
    <row r="11" spans="1:26" ht="15.5" x14ac:dyDescent="0.35">
      <c r="B11" t="s">
        <v>17</v>
      </c>
      <c r="C11" t="s">
        <v>18</v>
      </c>
      <c r="D11" s="2">
        <f>IFERROR(INDEX(D51:D500,MATCH($C$11,$C$51:$C$500,0)),"")</f>
        <v>33059126000000</v>
      </c>
      <c r="H11" s="2">
        <f>IFERROR(INDEX(D11:G11,COUNT(D11:G11)),"")</f>
        <v>33059126000000</v>
      </c>
      <c r="I11" s="2">
        <f t="shared" ref="I11:Z11" si="8">IFERROR(INDEX(I51:I500,MATCH($C$11,$C$51:$C$500,0)),"")</f>
        <v>32044482000000</v>
      </c>
      <c r="J11" s="2">
        <f t="shared" si="8"/>
        <v>29783642000000</v>
      </c>
      <c r="K11" s="2">
        <f t="shared" si="8"/>
        <v>31603784000000</v>
      </c>
      <c r="L11" s="2">
        <f t="shared" si="8"/>
        <v>27407478000000</v>
      </c>
      <c r="M11" s="2">
        <f t="shared" si="8"/>
        <v>26299973000000</v>
      </c>
      <c r="N11" s="2">
        <f t="shared" si="8"/>
        <v>32161564000000</v>
      </c>
      <c r="O11" s="2">
        <f t="shared" si="8"/>
        <v>30219214000000</v>
      </c>
      <c r="P11" s="2">
        <f t="shared" si="8"/>
        <v>27421625000000</v>
      </c>
      <c r="Q11" s="2">
        <f t="shared" si="8"/>
        <v>24797782000000</v>
      </c>
      <c r="R11" s="2">
        <f t="shared" si="8"/>
        <v>25212024000000</v>
      </c>
      <c r="S11" s="2">
        <f t="shared" si="8"/>
        <v>28771635000000</v>
      </c>
      <c r="T11" s="2">
        <f t="shared" si="8"/>
        <v>22469167000000</v>
      </c>
      <c r="U11" s="2">
        <f t="shared" si="8"/>
        <v>19171778000000</v>
      </c>
      <c r="V11" s="2">
        <f t="shared" si="8"/>
        <v>13895464000000</v>
      </c>
      <c r="W11" s="2">
        <f t="shared" si="8"/>
        <v>10525973000000</v>
      </c>
      <c r="X11" s="2">
        <f t="shared" si="8"/>
        <v>9975712000000</v>
      </c>
      <c r="Y11" s="2">
        <f t="shared" si="8"/>
        <v>8139304000000</v>
      </c>
      <c r="Z11" s="2">
        <f t="shared" si="8"/>
        <v>6750145000000</v>
      </c>
    </row>
    <row r="12" spans="1:26" ht="15.5" x14ac:dyDescent="0.35">
      <c r="A12" t="s">
        <v>19</v>
      </c>
      <c r="B12" t="s">
        <v>20</v>
      </c>
      <c r="C12" t="s">
        <v>21</v>
      </c>
      <c r="D12" s="2">
        <f>IFERROR(INDEX(D51:D500,MATCH("Net Debt (Quarter)",$C$51:$C$500,0)),"")</f>
        <v>0</v>
      </c>
      <c r="H12" s="2">
        <f>IFERROR(INDEX(D12:G12,COUNT(D12:G12)),"")</f>
        <v>0</v>
      </c>
      <c r="I12" s="2">
        <f t="shared" ref="I12:Z12" si="9">IFERROR(INDEX(I51:I500,MATCH($C$12,$C$51:$C$500,0)),"")</f>
        <v>0</v>
      </c>
      <c r="J12" s="2">
        <f t="shared" si="9"/>
        <v>0</v>
      </c>
      <c r="K12" s="2">
        <f t="shared" si="9"/>
        <v>0</v>
      </c>
      <c r="L12" s="2">
        <f t="shared" si="9"/>
        <v>0</v>
      </c>
      <c r="M12" s="2">
        <f t="shared" si="9"/>
        <v>0</v>
      </c>
      <c r="N12" s="2">
        <f t="shared" si="9"/>
        <v>0</v>
      </c>
      <c r="O12" s="2">
        <f t="shared" si="9"/>
        <v>0</v>
      </c>
      <c r="P12" s="2">
        <f t="shared" si="9"/>
        <v>0</v>
      </c>
      <c r="Q12" s="2">
        <f t="shared" si="9"/>
        <v>0</v>
      </c>
      <c r="R12" s="2">
        <f t="shared" si="9"/>
        <v>0</v>
      </c>
      <c r="S12" s="2">
        <f t="shared" si="9"/>
        <v>0</v>
      </c>
      <c r="T12" s="2">
        <f t="shared" si="9"/>
        <v>0</v>
      </c>
      <c r="U12" s="2">
        <f t="shared" si="9"/>
        <v>0</v>
      </c>
      <c r="V12" s="2">
        <f t="shared" si="9"/>
        <v>0</v>
      </c>
      <c r="W12" s="2">
        <f t="shared" si="9"/>
        <v>0</v>
      </c>
      <c r="X12" s="2">
        <f t="shared" si="9"/>
        <v>0</v>
      </c>
      <c r="Y12" s="2">
        <f t="shared" si="9"/>
        <v>0</v>
      </c>
      <c r="Z12" s="2">
        <f t="shared" si="9"/>
        <v>0</v>
      </c>
    </row>
    <row r="13" spans="1:26" ht="15.5" x14ac:dyDescent="0.35">
      <c r="A13" t="s">
        <v>22</v>
      </c>
      <c r="B13" t="s">
        <v>23</v>
      </c>
      <c r="C13" t="s">
        <v>24</v>
      </c>
      <c r="D13" s="2">
        <f>IFERROR(INDEX(D51:D500,MATCH("Total Debt (Quarter)",$C$51:$C$500,0)),"")</f>
        <v>0</v>
      </c>
      <c r="H13" s="2">
        <f>IFERROR(INDEX(D13:G13,COUNT(D13:G13)),"")</f>
        <v>0</v>
      </c>
      <c r="I13" s="2">
        <f t="shared" ref="I13:Z13" si="10">IFERROR(INDEX(I51:I500,MATCH($C$13,$C$51:$C$500,0)),"")</f>
        <v>0</v>
      </c>
      <c r="J13" s="2">
        <f t="shared" si="10"/>
        <v>0</v>
      </c>
      <c r="K13" s="2">
        <f t="shared" si="10"/>
        <v>0</v>
      </c>
      <c r="L13" s="2">
        <f t="shared" si="10"/>
        <v>0</v>
      </c>
      <c r="M13" s="2">
        <f t="shared" si="10"/>
        <v>0</v>
      </c>
      <c r="N13" s="2">
        <f t="shared" si="10"/>
        <v>0</v>
      </c>
      <c r="O13" s="2">
        <f t="shared" si="10"/>
        <v>0</v>
      </c>
      <c r="P13" s="2">
        <f t="shared" si="10"/>
        <v>0</v>
      </c>
      <c r="Q13" s="2">
        <f t="shared" si="10"/>
        <v>0</v>
      </c>
      <c r="R13" s="2">
        <f t="shared" si="10"/>
        <v>0</v>
      </c>
      <c r="S13" s="2">
        <f t="shared" si="10"/>
        <v>0</v>
      </c>
      <c r="T13" s="2">
        <f t="shared" si="10"/>
        <v>0</v>
      </c>
      <c r="U13" s="2">
        <f t="shared" si="10"/>
        <v>0</v>
      </c>
      <c r="V13" s="2">
        <f t="shared" si="10"/>
        <v>0</v>
      </c>
      <c r="W13" s="2">
        <f t="shared" si="10"/>
        <v>0</v>
      </c>
      <c r="X13" s="2">
        <f t="shared" si="10"/>
        <v>0</v>
      </c>
      <c r="Y13" s="2">
        <f t="shared" si="10"/>
        <v>0</v>
      </c>
      <c r="Z13" s="2">
        <f t="shared" si="10"/>
        <v>0</v>
      </c>
    </row>
    <row r="14" spans="1:26" ht="15.5" x14ac:dyDescent="0.35">
      <c r="C14" t="s">
        <v>25</v>
      </c>
      <c r="D14" s="2" t="str">
        <f>IFERROR(INDEX(D51:D500,MATCH($C$14,$C$51:$C$500,0)),"")</f>
        <v/>
      </c>
      <c r="H14" s="2">
        <f>IFERROR(SUM(D14:G14)*(4/MAX(1,COUNT(D14:G14))),"")</f>
        <v>0</v>
      </c>
      <c r="I14" s="2" t="str">
        <f t="shared" ref="I14:Z14" si="11">IFERROR(INDEX(I51:I500,MATCH($C$14,$C$51:$C$500,0)),"")</f>
        <v/>
      </c>
      <c r="J14" s="2" t="str">
        <f t="shared" si="11"/>
        <v/>
      </c>
      <c r="K14" s="2" t="str">
        <f t="shared" si="11"/>
        <v/>
      </c>
      <c r="L14" s="2" t="str">
        <f t="shared" si="11"/>
        <v/>
      </c>
      <c r="M14" s="2" t="str">
        <f t="shared" si="11"/>
        <v/>
      </c>
      <c r="N14" s="2" t="str">
        <f t="shared" si="11"/>
        <v/>
      </c>
      <c r="O14" s="2" t="str">
        <f t="shared" si="11"/>
        <v/>
      </c>
      <c r="P14" s="2" t="str">
        <f t="shared" si="11"/>
        <v/>
      </c>
      <c r="Q14" s="2" t="str">
        <f t="shared" si="11"/>
        <v/>
      </c>
      <c r="R14" s="2" t="str">
        <f t="shared" si="11"/>
        <v/>
      </c>
      <c r="S14" s="2" t="str">
        <f t="shared" si="11"/>
        <v/>
      </c>
      <c r="T14" s="2" t="str">
        <f t="shared" si="11"/>
        <v/>
      </c>
      <c r="U14" s="2" t="str">
        <f t="shared" si="11"/>
        <v/>
      </c>
      <c r="V14" s="2" t="str">
        <f t="shared" si="11"/>
        <v/>
      </c>
      <c r="W14" s="2" t="str">
        <f t="shared" si="11"/>
        <v/>
      </c>
      <c r="X14" s="2" t="str">
        <f t="shared" si="11"/>
        <v/>
      </c>
      <c r="Y14" s="2" t="str">
        <f t="shared" si="11"/>
        <v/>
      </c>
      <c r="Z14" s="2" t="str">
        <f t="shared" si="11"/>
        <v/>
      </c>
    </row>
    <row r="15" spans="1:26" ht="15.5" x14ac:dyDescent="0.35">
      <c r="C15" t="s">
        <v>26</v>
      </c>
      <c r="D15" s="2">
        <f>IFERROR(INDEX(D51:D500,MATCH($C$15,$C$51:$C$500,0)),"")</f>
        <v>-4351779000000</v>
      </c>
      <c r="H15" s="2">
        <f>IFERROR(SUM(D15:G15)*(4/MAX(1,COUNT(D15:G15))),"")</f>
        <v>-17407116000000</v>
      </c>
      <c r="I15" s="2">
        <f t="shared" ref="I15:Z15" si="12">IFERROR(INDEX(I51:I500,MATCH($C$15,$C$51:$C$500,0)),"")</f>
        <v>-15660454000000</v>
      </c>
      <c r="J15" s="2">
        <f t="shared" si="12"/>
        <v>-16945848000000</v>
      </c>
      <c r="K15" s="2">
        <f t="shared" si="12"/>
        <v>-16004664000000</v>
      </c>
      <c r="L15" s="2">
        <f t="shared" si="12"/>
        <v>-13188494000000</v>
      </c>
      <c r="M15" s="2">
        <f t="shared" si="12"/>
        <v>-7835608000000</v>
      </c>
      <c r="N15" s="2">
        <f t="shared" si="12"/>
        <v>-8951971000000</v>
      </c>
      <c r="O15" s="2">
        <f t="shared" si="12"/>
        <v>-8950228000000</v>
      </c>
      <c r="P15" s="2">
        <f t="shared" si="12"/>
        <v>-9335208000000</v>
      </c>
      <c r="Q15" s="2">
        <f t="shared" si="12"/>
        <v>-7977823000000</v>
      </c>
      <c r="R15" s="2">
        <f t="shared" si="12"/>
        <v>-7745779000000</v>
      </c>
      <c r="S15" s="2">
        <f t="shared" si="12"/>
        <v>-7083230000000</v>
      </c>
      <c r="T15" s="2">
        <f t="shared" si="12"/>
        <v>-6605228000000</v>
      </c>
      <c r="U15" s="2">
        <f t="shared" si="12"/>
        <v>-6555736000000</v>
      </c>
      <c r="V15" s="2">
        <f t="shared" si="12"/>
        <v>-5172192000000</v>
      </c>
      <c r="W15" s="2">
        <f t="shared" si="12"/>
        <v>-3667884000000</v>
      </c>
      <c r="X15" s="2">
        <f t="shared" si="12"/>
        <v>-3435845000000</v>
      </c>
      <c r="Y15" s="2">
        <f t="shared" si="12"/>
        <v>-2582936000000</v>
      </c>
      <c r="Z15" s="2">
        <f t="shared" si="12"/>
        <v>-2863644000000</v>
      </c>
    </row>
    <row r="16" spans="1:26" ht="15.5" x14ac:dyDescent="0.35">
      <c r="C16" t="s">
        <v>27</v>
      </c>
      <c r="D16" s="2">
        <f>IFERROR(INDEX(D51:D500,MATCH($C$16,$C$51:$C$500,0)),"")</f>
        <v>19985628000000</v>
      </c>
      <c r="H16" s="2">
        <f>IFERROR(SUM(D16:G16)*(4/MAX(1,COUNT(D16:G16))),"")</f>
        <v>79942512000000</v>
      </c>
      <c r="I16" s="2">
        <f t="shared" ref="I16:Z16" si="13">IFERROR(INDEX(I51:I500,MATCH($C$16,$C$51:$C$500,0)),"")</f>
        <v>72792819000000</v>
      </c>
      <c r="J16" s="2">
        <f t="shared" si="13"/>
        <v>77252194000000</v>
      </c>
      <c r="K16" s="2">
        <f t="shared" si="13"/>
        <v>76429712000000</v>
      </c>
      <c r="L16" s="2">
        <f t="shared" si="13"/>
        <v>64596701000000</v>
      </c>
      <c r="M16" s="2">
        <f t="shared" si="13"/>
        <v>40992065000000</v>
      </c>
      <c r="N16" s="2">
        <f t="shared" si="13"/>
        <v>29993406000000</v>
      </c>
      <c r="O16" s="2">
        <f t="shared" si="13"/>
        <v>43364053000000</v>
      </c>
      <c r="P16" s="2">
        <f t="shared" si="13"/>
        <v>41753694000000</v>
      </c>
      <c r="Q16" s="2">
        <f t="shared" si="13"/>
        <v>37022157000000</v>
      </c>
      <c r="R16" s="2">
        <f t="shared" si="13"/>
        <v>33973770000000</v>
      </c>
      <c r="S16" s="2">
        <f t="shared" si="13"/>
        <v>32494018000000</v>
      </c>
      <c r="T16" s="2">
        <f t="shared" si="13"/>
        <v>30859073000000</v>
      </c>
      <c r="U16" s="2">
        <f t="shared" si="13"/>
        <v>27910066000000</v>
      </c>
      <c r="V16" s="2">
        <f t="shared" si="13"/>
        <v>23859572000000</v>
      </c>
      <c r="W16" s="2">
        <f t="shared" si="13"/>
        <v>18755880000000</v>
      </c>
      <c r="X16" s="2">
        <f t="shared" si="13"/>
        <v>14908230000000</v>
      </c>
      <c r="Y16" s="2">
        <f t="shared" si="13"/>
        <v>9891228000000</v>
      </c>
      <c r="Z16" s="2">
        <f t="shared" si="13"/>
        <v>8822012000000</v>
      </c>
    </row>
    <row r="17" spans="1:26" ht="15.5" x14ac:dyDescent="0.35">
      <c r="A17" t="s">
        <v>28</v>
      </c>
    </row>
    <row r="18" spans="1:26" ht="15.5" x14ac:dyDescent="0.35">
      <c r="A18" t="s">
        <v>29</v>
      </c>
      <c r="D18" t="s">
        <v>1</v>
      </c>
      <c r="H18" t="s">
        <v>2</v>
      </c>
      <c r="I18" t="s">
        <v>30</v>
      </c>
      <c r="J18" t="s">
        <v>31</v>
      </c>
      <c r="K18" t="s">
        <v>32</v>
      </c>
      <c r="L18" t="s">
        <v>33</v>
      </c>
      <c r="M18" t="s">
        <v>34</v>
      </c>
      <c r="N18" t="s">
        <v>311</v>
      </c>
      <c r="O18" t="s">
        <v>312</v>
      </c>
      <c r="P18" t="s">
        <v>313</v>
      </c>
      <c r="Q18" t="s">
        <v>314</v>
      </c>
      <c r="R18" t="s">
        <v>315</v>
      </c>
      <c r="S18" t="s">
        <v>316</v>
      </c>
      <c r="T18" t="s">
        <v>317</v>
      </c>
      <c r="U18" t="s">
        <v>318</v>
      </c>
      <c r="V18" t="s">
        <v>319</v>
      </c>
      <c r="W18" t="s">
        <v>320</v>
      </c>
      <c r="X18" t="s">
        <v>321</v>
      </c>
      <c r="Y18" t="s">
        <v>322</v>
      </c>
      <c r="Z18" t="s">
        <v>323</v>
      </c>
    </row>
    <row r="19" spans="1:26" ht="15.5" x14ac:dyDescent="0.35">
      <c r="A19" t="s">
        <v>35</v>
      </c>
      <c r="C19" t="s">
        <v>36</v>
      </c>
    </row>
    <row r="20" spans="1:26" ht="15.5" x14ac:dyDescent="0.35">
      <c r="A20" t="s">
        <v>37</v>
      </c>
      <c r="C20" t="s">
        <v>38</v>
      </c>
      <c r="D20" s="2">
        <f ca="1">IFERROR(D21*D2,"")</f>
        <v>453164400000000</v>
      </c>
      <c r="H20" s="2">
        <f t="shared" ref="H20:Z20" ca="1" si="14">IFERROR(H21*H2,"")</f>
        <v>431946000000000</v>
      </c>
      <c r="I20" s="2">
        <f t="shared" ca="1" si="14"/>
        <v>554709600000000</v>
      </c>
      <c r="J20" s="2">
        <f t="shared" ca="1" si="14"/>
        <v>618364800000000</v>
      </c>
      <c r="K20" s="2">
        <f t="shared" ca="1" si="14"/>
        <v>867681000000000</v>
      </c>
      <c r="L20" s="2">
        <f t="shared" ca="1" si="14"/>
        <v>748706400000000</v>
      </c>
      <c r="M20" s="2">
        <f t="shared" ca="1" si="14"/>
        <v>622911600000000</v>
      </c>
      <c r="N20" s="2">
        <f t="shared" ca="1" si="14"/>
        <v>514369500000000</v>
      </c>
      <c r="O20" s="2">
        <f t="shared" ca="1" si="14"/>
        <v>542740000000000</v>
      </c>
      <c r="P20" s="2">
        <f t="shared" ca="1" si="14"/>
        <v>451461000000000</v>
      </c>
      <c r="Q20" s="2">
        <f t="shared" ca="1" si="14"/>
        <v>448994000000000</v>
      </c>
      <c r="R20" s="2">
        <f t="shared" ca="1" si="14"/>
        <v>57604450000000</v>
      </c>
      <c r="S20" s="2">
        <f t="shared" ca="1" si="14"/>
        <v>56370950000000</v>
      </c>
      <c r="T20" s="2">
        <f t="shared" ca="1" si="14"/>
        <v>57481100000000</v>
      </c>
      <c r="U20" s="2">
        <f t="shared" ca="1" si="14"/>
        <v>35771500000000</v>
      </c>
      <c r="V20" s="2">
        <f t="shared" ca="1" si="14"/>
        <v>34291300000000</v>
      </c>
      <c r="W20" s="2">
        <f t="shared" ca="1" si="14"/>
        <v>33304500000000</v>
      </c>
      <c r="X20" s="2">
        <f t="shared" ca="1" si="14"/>
        <v>12946500000000</v>
      </c>
      <c r="Y20" s="2">
        <f t="shared" ca="1" si="14"/>
        <v>9370800000000</v>
      </c>
      <c r="Z20" s="2">
        <f t="shared" ca="1" si="14"/>
        <v>5640975000000</v>
      </c>
    </row>
    <row r="21" spans="1:26" ht="15.5" x14ac:dyDescent="0.35">
      <c r="C21" t="s">
        <v>10</v>
      </c>
      <c r="D21" s="2">
        <f>IFERROR(INDEX(D51:D500,MATCH($C$7,$C$51:$C$500,0)),"")</f>
        <v>151560000000</v>
      </c>
      <c r="H21" s="2">
        <f>IFERROR(INDEX(D21:G21,COUNT(D21:G21)),"")</f>
        <v>151560000000</v>
      </c>
      <c r="I21" s="2">
        <f t="shared" ref="I21:Z21" si="15">IFERROR(INDEX(I51:I500,MATCH($C$7,$C$51:$C$500,0)),"")</f>
        <v>151560000000</v>
      </c>
      <c r="J21" s="2">
        <f t="shared" si="15"/>
        <v>151560000000</v>
      </c>
      <c r="K21" s="2">
        <f t="shared" si="15"/>
        <v>151560000000</v>
      </c>
      <c r="L21" s="2">
        <f t="shared" si="15"/>
        <v>151560000000</v>
      </c>
      <c r="M21" s="2">
        <f t="shared" si="15"/>
        <v>151560000000</v>
      </c>
      <c r="N21" s="2">
        <f t="shared" si="15"/>
        <v>123350000000</v>
      </c>
      <c r="O21" s="2">
        <f t="shared" si="15"/>
        <v>123350000000</v>
      </c>
      <c r="P21" s="2">
        <f t="shared" si="15"/>
        <v>123350000000</v>
      </c>
      <c r="Q21" s="2">
        <f t="shared" si="15"/>
        <v>123350000000</v>
      </c>
      <c r="R21" s="2">
        <f t="shared" si="15"/>
        <v>24670000000</v>
      </c>
      <c r="S21" s="2">
        <f t="shared" si="15"/>
        <v>24670000000</v>
      </c>
      <c r="T21" s="2">
        <f t="shared" si="15"/>
        <v>24670000000</v>
      </c>
      <c r="U21" s="2">
        <f t="shared" si="15"/>
        <v>24670000000</v>
      </c>
      <c r="V21" s="2">
        <f t="shared" si="15"/>
        <v>24670000000</v>
      </c>
      <c r="W21" s="2">
        <f t="shared" si="15"/>
        <v>24670000000</v>
      </c>
      <c r="X21" s="2">
        <f t="shared" si="15"/>
        <v>12330000000</v>
      </c>
      <c r="Y21" s="2">
        <f t="shared" si="15"/>
        <v>12330000000</v>
      </c>
      <c r="Z21" s="2">
        <f t="shared" si="15"/>
        <v>12330000000</v>
      </c>
    </row>
    <row r="23" spans="1:26" ht="15.5" x14ac:dyDescent="0.35">
      <c r="B23" t="s">
        <v>39</v>
      </c>
      <c r="C23" t="s">
        <v>40</v>
      </c>
      <c r="D23" s="3">
        <f>IFERROR(D5/D6*100,"")</f>
        <v>3.9965029014752225</v>
      </c>
      <c r="H23" s="3">
        <f t="shared" ref="H23:Z23" si="16">IFERROR(H5/H6*100,"")</f>
        <v>15.98601160590089</v>
      </c>
      <c r="I23" s="3">
        <f t="shared" si="16"/>
        <v>17.908180394238578</v>
      </c>
      <c r="J23" s="3">
        <f t="shared" si="16"/>
        <v>19.058905386565776</v>
      </c>
      <c r="K23" s="3">
        <f t="shared" si="16"/>
        <v>19.18285433161444</v>
      </c>
      <c r="L23" s="3">
        <f t="shared" si="16"/>
        <v>15.930815767996842</v>
      </c>
      <c r="M23" s="3">
        <f t="shared" si="16"/>
        <v>9.5466627065149936</v>
      </c>
      <c r="N23" s="3">
        <f t="shared" si="16"/>
        <v>10.868573582325801</v>
      </c>
      <c r="O23" s="3">
        <f t="shared" si="16"/>
        <v>18.872885176596775</v>
      </c>
      <c r="P23" s="3">
        <f t="shared" si="16"/>
        <v>15.604193415258289</v>
      </c>
      <c r="Q23" s="3">
        <f t="shared" si="16"/>
        <v>18.408273266404578</v>
      </c>
      <c r="R23" s="3">
        <f t="shared" si="16"/>
        <v>28.158604108816554</v>
      </c>
      <c r="S23" s="3">
        <f t="shared" si="16"/>
        <v>21.976222884511245</v>
      </c>
      <c r="T23" s="3">
        <f t="shared" si="16"/>
        <v>25.317620130973573</v>
      </c>
      <c r="U23" s="3">
        <f t="shared" si="16"/>
        <v>25.102540203562899</v>
      </c>
      <c r="V23" s="3">
        <f t="shared" si="16"/>
        <v>28.747821480049122</v>
      </c>
      <c r="W23" s="3">
        <f t="shared" si="16"/>
        <v>30.686860779261416</v>
      </c>
      <c r="X23" s="3">
        <f t="shared" si="16"/>
        <v>0</v>
      </c>
      <c r="Y23" s="3">
        <f t="shared" si="16"/>
        <v>0</v>
      </c>
      <c r="Z23" s="3">
        <f t="shared" si="16"/>
        <v>0</v>
      </c>
    </row>
    <row r="24" spans="1:26" ht="15.5" x14ac:dyDescent="0.35">
      <c r="C24" t="s">
        <v>41</v>
      </c>
      <c r="D24" s="4">
        <f>IFERROR(_xlfn.RRI(5,I23,D23),"")</f>
        <v>-0.25915776302889748</v>
      </c>
      <c r="H24" s="4">
        <f t="shared" ref="H24:Z24" si="17">IFERROR(_xlfn.RRI(5,M23,H23),"")</f>
        <v>0.10860723620744106</v>
      </c>
      <c r="I24" s="4">
        <f t="shared" si="17"/>
        <v>0.10503435974065045</v>
      </c>
      <c r="J24" s="4">
        <f t="shared" si="17"/>
        <v>1.9635695763278171E-3</v>
      </c>
      <c r="K24" s="4">
        <f t="shared" si="17"/>
        <v>4.2159953658813532E-2</v>
      </c>
      <c r="L24" s="4">
        <f t="shared" si="17"/>
        <v>-2.8495106469899611E-2</v>
      </c>
      <c r="M24" s="4">
        <f t="shared" si="17"/>
        <v>-0.1945323707243134</v>
      </c>
      <c r="N24" s="4">
        <f t="shared" si="17"/>
        <v>-0.13135184854836979</v>
      </c>
      <c r="O24" s="4">
        <f t="shared" si="17"/>
        <v>-5.7062117930668066E-2</v>
      </c>
      <c r="P24" s="4">
        <f t="shared" si="17"/>
        <v>-9.0705151404790962E-2</v>
      </c>
      <c r="Q24" s="4">
        <f t="shared" si="17"/>
        <v>-8.5293800245324181E-2</v>
      </c>
      <c r="R24" s="4">
        <f t="shared" si="17"/>
        <v>-1.7049310190943023E-2</v>
      </c>
      <c r="S24" s="4" t="str">
        <f t="shared" si="17"/>
        <v/>
      </c>
      <c r="T24" s="4" t="str">
        <f t="shared" si="17"/>
        <v/>
      </c>
      <c r="U24" s="4" t="str">
        <f t="shared" si="17"/>
        <v/>
      </c>
      <c r="V24" s="4" t="str">
        <f t="shared" si="17"/>
        <v/>
      </c>
      <c r="W24" s="4" t="str">
        <f t="shared" si="17"/>
        <v/>
      </c>
      <c r="X24" s="4">
        <f t="shared" si="17"/>
        <v>0</v>
      </c>
      <c r="Y24" s="4">
        <f t="shared" si="17"/>
        <v>0</v>
      </c>
      <c r="Z24" s="4">
        <f t="shared" si="17"/>
        <v>0</v>
      </c>
    </row>
    <row r="25" spans="1:26" ht="15.5" x14ac:dyDescent="0.35">
      <c r="A25" t="s">
        <v>42</v>
      </c>
      <c r="C25" t="s">
        <v>43</v>
      </c>
      <c r="D25" s="3">
        <f>IFERROR(INDEX(D51:D500,MATCH($A$25,$C$51:$C$500,0)),"")</f>
        <v>102.22</v>
      </c>
      <c r="H25" s="3">
        <f>IFERROR(INDEX(D25:G25,COUNT(D25:G25)),"")</f>
        <v>102.22</v>
      </c>
      <c r="I25" s="3">
        <f t="shared" ref="I25:Z25" si="18">IFERROR(INDEX(I51:I500,MATCH($C$25,$C$51:$C$500,0)),"")</f>
        <v>373.8</v>
      </c>
      <c r="J25" s="3">
        <f t="shared" si="18"/>
        <v>395.52</v>
      </c>
      <c r="K25" s="3">
        <f t="shared" si="18"/>
        <v>396.54</v>
      </c>
      <c r="L25" s="3">
        <f t="shared" si="18"/>
        <v>337.63</v>
      </c>
      <c r="M25" s="3">
        <f t="shared" si="18"/>
        <v>204.98</v>
      </c>
      <c r="N25" s="3">
        <f t="shared" si="18"/>
        <v>151.24</v>
      </c>
      <c r="O25" s="3">
        <f t="shared" si="18"/>
        <v>278.67</v>
      </c>
      <c r="P25" s="3">
        <f t="shared" si="18"/>
        <v>262.27999999999997</v>
      </c>
      <c r="Q25" s="3">
        <f t="shared" si="18"/>
        <v>235.08</v>
      </c>
      <c r="R25" s="3">
        <f t="shared" si="18"/>
        <v>1061.8800000000001</v>
      </c>
      <c r="S25" s="3">
        <f t="shared" si="18"/>
        <v>1029.53</v>
      </c>
      <c r="T25" s="3">
        <f t="shared" si="18"/>
        <v>982.67</v>
      </c>
      <c r="U25" s="3">
        <f t="shared" si="18"/>
        <v>865.22</v>
      </c>
      <c r="V25" s="3">
        <f t="shared" si="18"/>
        <v>757.26</v>
      </c>
      <c r="W25" s="3">
        <f t="shared" si="18"/>
        <v>611.41</v>
      </c>
      <c r="X25" s="3">
        <f t="shared" si="18"/>
        <v>930.1</v>
      </c>
      <c r="Y25" s="3">
        <f t="shared" si="18"/>
        <v>592.73</v>
      </c>
      <c r="Z25" s="3">
        <f t="shared" si="18"/>
        <v>483.43</v>
      </c>
    </row>
    <row r="26" spans="1:26" ht="15.5" x14ac:dyDescent="0.35">
      <c r="C26" t="s">
        <v>44</v>
      </c>
      <c r="D26" s="4">
        <f>IFERROR(_xlfn.RRI(5,I25,D25),"")</f>
        <v>-0.2284229241930632</v>
      </c>
      <c r="H26" s="4">
        <f t="shared" ref="H26:Z26" si="19">IFERROR(_xlfn.RRI(5,M25,H25),"")</f>
        <v>-0.12990859706976166</v>
      </c>
      <c r="I26" s="4">
        <f t="shared" si="19"/>
        <v>0.19837992627176715</v>
      </c>
      <c r="J26" s="4">
        <f t="shared" si="19"/>
        <v>7.2545305429291718E-2</v>
      </c>
      <c r="K26" s="4">
        <f t="shared" si="19"/>
        <v>8.6186411771212557E-2</v>
      </c>
      <c r="L26" s="4">
        <f t="shared" si="19"/>
        <v>7.5090611632047999E-2</v>
      </c>
      <c r="M26" s="4">
        <f t="shared" si="19"/>
        <v>-0.28034025677930796</v>
      </c>
      <c r="N26" s="4">
        <f t="shared" si="19"/>
        <v>-0.3185946603383748</v>
      </c>
      <c r="O26" s="4">
        <f t="shared" si="19"/>
        <v>-0.22279335697955616</v>
      </c>
      <c r="P26" s="4">
        <f t="shared" si="19"/>
        <v>-0.21236006977434796</v>
      </c>
      <c r="Q26" s="4">
        <f t="shared" si="19"/>
        <v>-0.20860348588774325</v>
      </c>
      <c r="R26" s="4">
        <f t="shared" si="19"/>
        <v>0.11673102202003727</v>
      </c>
      <c r="S26" s="4">
        <f t="shared" si="19"/>
        <v>2.0520827151155885E-2</v>
      </c>
      <c r="T26" s="4">
        <f t="shared" si="19"/>
        <v>0.10639488104973283</v>
      </c>
      <c r="U26" s="4">
        <f t="shared" si="19"/>
        <v>0.12346252513403533</v>
      </c>
      <c r="V26" s="4" t="str">
        <f t="shared" si="19"/>
        <v/>
      </c>
      <c r="W26" s="4" t="str">
        <f t="shared" si="19"/>
        <v/>
      </c>
      <c r="X26" s="4" t="str">
        <f t="shared" si="19"/>
        <v/>
      </c>
      <c r="Y26" s="4" t="str">
        <f t="shared" si="19"/>
        <v/>
      </c>
      <c r="Z26" s="4" t="str">
        <f t="shared" si="19"/>
        <v/>
      </c>
    </row>
    <row r="27" spans="1:26" ht="15.5" x14ac:dyDescent="0.35">
      <c r="C27" t="s">
        <v>45</v>
      </c>
      <c r="D27" s="3">
        <f>IFERROR(D4/D21,"")</f>
        <v>348.62776458168383</v>
      </c>
      <c r="H27" s="3">
        <f t="shared" ref="H27:Z27" si="20">IFERROR(H4/H21,"")</f>
        <v>1394.5110583267353</v>
      </c>
      <c r="I27" s="3">
        <f t="shared" si="20"/>
        <v>1370.9644233306942</v>
      </c>
      <c r="J27" s="3">
        <f t="shared" si="20"/>
        <v>1314.7680918448139</v>
      </c>
      <c r="K27" s="3">
        <f t="shared" si="20"/>
        <v>1240.9266759039324</v>
      </c>
      <c r="L27" s="3">
        <f t="shared" si="20"/>
        <v>1061.0438836104513</v>
      </c>
      <c r="M27" s="3">
        <f t="shared" si="20"/>
        <v>993.09258379519667</v>
      </c>
      <c r="N27" s="3">
        <f t="shared" si="20"/>
        <v>1150.9552979327118</v>
      </c>
      <c r="O27" s="3">
        <f t="shared" si="20"/>
        <v>1030.6447750304012</v>
      </c>
      <c r="P27" s="3">
        <f t="shared" si="20"/>
        <v>938.47601945683016</v>
      </c>
      <c r="Q27" s="3">
        <f t="shared" si="20"/>
        <v>864.92304012971215</v>
      </c>
      <c r="R27" s="3">
        <f t="shared" si="20"/>
        <v>3942.5443048236725</v>
      </c>
      <c r="S27" s="3">
        <f t="shared" si="20"/>
        <v>3463.0740575597893</v>
      </c>
      <c r="T27" s="3">
        <f t="shared" si="20"/>
        <v>3045.0836238346169</v>
      </c>
      <c r="U27" s="3">
        <f t="shared" si="20"/>
        <v>2410.2587758411028</v>
      </c>
      <c r="V27" s="3">
        <f t="shared" si="20"/>
        <v>2010.9615322253749</v>
      </c>
      <c r="W27" s="3">
        <f t="shared" si="20"/>
        <v>1952.344872314552</v>
      </c>
      <c r="X27" s="3">
        <f t="shared" si="20"/>
        <v>3618.4235198702354</v>
      </c>
      <c r="Y27" s="3">
        <f t="shared" si="20"/>
        <v>2865.7040551500404</v>
      </c>
      <c r="Z27" s="3">
        <f t="shared" si="20"/>
        <v>2278.7212489862127</v>
      </c>
    </row>
    <row r="28" spans="1:26" ht="15.5" x14ac:dyDescent="0.35">
      <c r="C28" t="s">
        <v>46</v>
      </c>
      <c r="D28" s="4">
        <f>IFERROR(_xlfn.RRI(5,I27,D27),"")</f>
        <v>-0.23955614070048892</v>
      </c>
      <c r="H28" s="4">
        <f t="shared" ref="H28:Z28" si="21">IFERROR(_xlfn.RRI(5,M27,H27),"")</f>
        <v>7.0252977574590592E-2</v>
      </c>
      <c r="I28" s="4">
        <f t="shared" si="21"/>
        <v>3.5603586277035193E-2</v>
      </c>
      <c r="J28" s="4">
        <f t="shared" si="21"/>
        <v>4.9900227788091334E-2</v>
      </c>
      <c r="K28" s="4">
        <f t="shared" si="21"/>
        <v>5.7461557479814074E-2</v>
      </c>
      <c r="L28" s="4">
        <f t="shared" si="21"/>
        <v>4.1720416750251621E-2</v>
      </c>
      <c r="M28" s="4">
        <f t="shared" si="21"/>
        <v>-0.24099850513904053</v>
      </c>
      <c r="N28" s="4">
        <f t="shared" si="21"/>
        <v>-0.19773224829158575</v>
      </c>
      <c r="O28" s="4">
        <f t="shared" si="21"/>
        <v>-0.19480335539189775</v>
      </c>
      <c r="P28" s="4">
        <f t="shared" si="21"/>
        <v>-0.17192075162225018</v>
      </c>
      <c r="Q28" s="4">
        <f t="shared" si="21"/>
        <v>-0.15527618041507996</v>
      </c>
      <c r="R28" s="4">
        <f t="shared" si="21"/>
        <v>0.15091701130305002</v>
      </c>
      <c r="S28" s="4">
        <f t="shared" si="21"/>
        <v>-8.7379579247289785E-3</v>
      </c>
      <c r="T28" s="4">
        <f t="shared" si="21"/>
        <v>1.2216883835699965E-2</v>
      </c>
      <c r="U28" s="4">
        <f t="shared" si="21"/>
        <v>1.1287162246044646E-2</v>
      </c>
      <c r="V28" s="4" t="str">
        <f t="shared" si="21"/>
        <v/>
      </c>
      <c r="W28" s="4" t="str">
        <f t="shared" si="21"/>
        <v/>
      </c>
      <c r="X28" s="4" t="str">
        <f t="shared" si="21"/>
        <v/>
      </c>
      <c r="Y28" s="4" t="str">
        <f t="shared" si="21"/>
        <v/>
      </c>
      <c r="Z28" s="4" t="str">
        <f t="shared" si="21"/>
        <v/>
      </c>
    </row>
    <row r="32" spans="1:26" ht="15.5" x14ac:dyDescent="0.35">
      <c r="A32" t="s">
        <v>47</v>
      </c>
      <c r="B32" t="s">
        <v>48</v>
      </c>
      <c r="C32" t="s">
        <v>49</v>
      </c>
      <c r="D32" s="3">
        <f>IFERROR(INDEX(D51:D500,MATCH($A$32,$C$51:$C$500,0)),"")</f>
        <v>2231.5</v>
      </c>
      <c r="H32" s="3">
        <f>IFERROR(INDEX(D32:G32,COUNT(D32:G32)),"")</f>
        <v>2231.5</v>
      </c>
      <c r="I32" s="3">
        <f t="shared" ref="I32:Z32" si="22">IFERROR(INDEX(I51:I500,MATCH($C$32,$C$51:$C$500,0)),"")</f>
        <v>2138</v>
      </c>
      <c r="J32" s="3">
        <f t="shared" si="22"/>
        <v>2091.7800000000002</v>
      </c>
      <c r="K32" s="3">
        <f t="shared" si="22"/>
        <v>2054.4</v>
      </c>
      <c r="L32" s="3">
        <f t="shared" si="22"/>
        <v>1974.77</v>
      </c>
      <c r="M32" s="3">
        <f t="shared" si="22"/>
        <v>1905.1</v>
      </c>
      <c r="N32" s="3">
        <f t="shared" si="22"/>
        <v>1600.2</v>
      </c>
      <c r="O32" s="3">
        <f t="shared" si="22"/>
        <v>1672.72</v>
      </c>
      <c r="P32" s="3">
        <f t="shared" si="22"/>
        <v>1483.37</v>
      </c>
      <c r="Q32" s="3">
        <f t="shared" si="22"/>
        <v>1351.88</v>
      </c>
      <c r="R32" s="3">
        <f t="shared" si="22"/>
        <v>5935.4</v>
      </c>
      <c r="S32" s="3">
        <f t="shared" si="22"/>
        <v>4573.84</v>
      </c>
      <c r="T32" s="3">
        <f t="shared" si="22"/>
        <v>3954.75</v>
      </c>
      <c r="U32" s="3">
        <f t="shared" si="22"/>
        <v>3209.01</v>
      </c>
      <c r="V32" s="3">
        <f t="shared" si="22"/>
        <v>2627.04</v>
      </c>
      <c r="W32" s="3">
        <f t="shared" si="22"/>
        <v>2017.68</v>
      </c>
      <c r="X32" s="3">
        <f t="shared" si="22"/>
        <v>2973.19</v>
      </c>
      <c r="Y32" s="3">
        <f t="shared" si="22"/>
        <v>2210.6799999999998</v>
      </c>
      <c r="Z32" s="3">
        <f t="shared" si="22"/>
        <v>1813.89</v>
      </c>
    </row>
    <row r="33" spans="1:26" ht="15.5" x14ac:dyDescent="0.35">
      <c r="A33" t="s">
        <v>50</v>
      </c>
      <c r="B33" t="s">
        <v>51</v>
      </c>
      <c r="C33" t="s">
        <v>52</v>
      </c>
      <c r="D33" s="3">
        <f>IFERROR(INDEX(D51:D500,MATCH($A$33,$C$51:$C$500,0)),"")</f>
        <v>1.49</v>
      </c>
      <c r="H33" s="3">
        <f>IFERROR(INDEX(D33:G33,COUNT(D33:G33)),"")</f>
        <v>1.49</v>
      </c>
      <c r="I33" s="3">
        <f t="shared" ref="I33:Z33" si="23">IFERROR(INDEX(I51:I500,MATCH($C$33,$C$51:$C$500,0)),"")</f>
        <v>1.71</v>
      </c>
      <c r="J33" s="3">
        <f t="shared" si="23"/>
        <v>1.95</v>
      </c>
      <c r="K33" s="3">
        <f t="shared" si="23"/>
        <v>2.79</v>
      </c>
      <c r="L33" s="3">
        <f t="shared" si="23"/>
        <v>2.5</v>
      </c>
      <c r="M33" s="3">
        <f t="shared" si="23"/>
        <v>2.16</v>
      </c>
      <c r="N33" s="3">
        <f t="shared" si="23"/>
        <v>2.61</v>
      </c>
      <c r="O33" s="3">
        <f t="shared" si="23"/>
        <v>2.63</v>
      </c>
      <c r="P33" s="3">
        <f t="shared" si="23"/>
        <v>2.4700000000000002</v>
      </c>
      <c r="Q33" s="3">
        <f t="shared" si="23"/>
        <v>2.69</v>
      </c>
      <c r="R33" s="3">
        <f t="shared" si="23"/>
        <v>1.97</v>
      </c>
      <c r="S33" s="3">
        <f t="shared" si="23"/>
        <v>2.5</v>
      </c>
      <c r="T33" s="3">
        <f t="shared" si="23"/>
        <v>2.95</v>
      </c>
      <c r="U33" s="3">
        <f t="shared" si="23"/>
        <v>2.2599999999999998</v>
      </c>
      <c r="V33" s="3">
        <f t="shared" si="23"/>
        <v>2.65</v>
      </c>
      <c r="W33" s="3">
        <f t="shared" si="23"/>
        <v>3.35</v>
      </c>
      <c r="X33" s="3">
        <f t="shared" si="23"/>
        <v>3.53</v>
      </c>
      <c r="Y33" s="3">
        <f t="shared" si="23"/>
        <v>3.46</v>
      </c>
      <c r="Z33" s="3">
        <f t="shared" si="23"/>
        <v>2.5299999999999998</v>
      </c>
    </row>
    <row r="34" spans="1:26" ht="15.5" x14ac:dyDescent="0.35">
      <c r="A34" t="s">
        <v>53</v>
      </c>
      <c r="B34" t="s">
        <v>54</v>
      </c>
      <c r="C34" t="s">
        <v>55</v>
      </c>
      <c r="D34" s="3">
        <f>IFERROR(INDEX(D51:D500,MATCH($A$34,$C$51:$C$500,0)),"")</f>
        <v>32.58</v>
      </c>
      <c r="H34" s="3">
        <f>IFERROR(INDEX(D34:G34,COUNT(D34:G34)),"")</f>
        <v>32.58</v>
      </c>
      <c r="I34" s="3">
        <f t="shared" ref="I34:Z34" si="24">IFERROR(INDEX(I51:I500,MATCH($C$34,$C$51:$C$500,0)),"")</f>
        <v>9.7899999999999991</v>
      </c>
      <c r="J34" s="3">
        <f t="shared" si="24"/>
        <v>10.32</v>
      </c>
      <c r="K34" s="3">
        <f t="shared" si="24"/>
        <v>14.44</v>
      </c>
      <c r="L34" s="3">
        <f t="shared" si="24"/>
        <v>14.63</v>
      </c>
      <c r="M34" s="3">
        <f t="shared" si="24"/>
        <v>20.05</v>
      </c>
      <c r="N34" s="3">
        <f t="shared" si="24"/>
        <v>27.57</v>
      </c>
      <c r="O34" s="3">
        <f t="shared" si="24"/>
        <v>15.79</v>
      </c>
      <c r="P34" s="3">
        <f t="shared" si="24"/>
        <v>13.95</v>
      </c>
      <c r="Q34" s="3">
        <f t="shared" si="24"/>
        <v>15.48</v>
      </c>
      <c r="R34" s="3">
        <f t="shared" si="24"/>
        <v>10.99</v>
      </c>
      <c r="S34" s="3">
        <f t="shared" si="24"/>
        <v>11.1</v>
      </c>
      <c r="T34" s="3">
        <f t="shared" si="24"/>
        <v>11.85</v>
      </c>
      <c r="U34" s="3">
        <f t="shared" si="24"/>
        <v>8.3800000000000008</v>
      </c>
      <c r="V34" s="3">
        <f t="shared" si="24"/>
        <v>9.18</v>
      </c>
      <c r="W34" s="3">
        <f t="shared" si="24"/>
        <v>11.04</v>
      </c>
      <c r="X34" s="3">
        <f t="shared" si="24"/>
        <v>11.28</v>
      </c>
      <c r="Y34" s="3">
        <f t="shared" si="24"/>
        <v>12.9</v>
      </c>
      <c r="Z34" s="3">
        <f t="shared" si="24"/>
        <v>9.48</v>
      </c>
    </row>
    <row r="35" spans="1:26" ht="15.5" x14ac:dyDescent="0.35">
      <c r="A35" t="s">
        <v>56</v>
      </c>
      <c r="B35" t="s">
        <v>57</v>
      </c>
      <c r="C35" t="s">
        <v>58</v>
      </c>
      <c r="D35" s="3">
        <f>IFERROR(INDEX(D51:D500,MATCH($A$35,$C$51:$C$500,0)),"")</f>
        <v>9.5500000000000007</v>
      </c>
      <c r="H35" s="3">
        <f>IFERROR(INDEX(D35:G35,COUNT(D35:G35)),"")</f>
        <v>9.5500000000000007</v>
      </c>
      <c r="I35" s="3">
        <f t="shared" ref="I35:Z35" si="25">IFERROR(INDEX(I51:I500,MATCH($C$35,$C$51:$C$500,0)),"")</f>
        <v>2.67</v>
      </c>
      <c r="J35" s="3">
        <f t="shared" si="25"/>
        <v>3.1</v>
      </c>
      <c r="K35" s="3">
        <f t="shared" si="25"/>
        <v>4.6100000000000003</v>
      </c>
      <c r="L35" s="3">
        <f t="shared" si="25"/>
        <v>4.66</v>
      </c>
      <c r="M35" s="3">
        <f t="shared" si="25"/>
        <v>4.1399999999999997</v>
      </c>
      <c r="N35" s="3">
        <f t="shared" si="25"/>
        <v>3.62</v>
      </c>
      <c r="O35" s="3">
        <f t="shared" si="25"/>
        <v>4.2699999999999996</v>
      </c>
      <c r="P35" s="3">
        <f t="shared" si="25"/>
        <v>3.9</v>
      </c>
      <c r="Q35" s="3">
        <f t="shared" si="25"/>
        <v>4.21</v>
      </c>
      <c r="R35" s="3">
        <f t="shared" si="25"/>
        <v>2.96</v>
      </c>
      <c r="S35" s="3">
        <f t="shared" si="25"/>
        <v>3.3</v>
      </c>
      <c r="T35" s="3">
        <f t="shared" si="25"/>
        <v>3.83</v>
      </c>
      <c r="U35" s="3">
        <f t="shared" si="25"/>
        <v>3.01</v>
      </c>
      <c r="V35" s="3">
        <f t="shared" si="25"/>
        <v>3.46</v>
      </c>
      <c r="W35" s="3">
        <f t="shared" si="25"/>
        <v>3.46</v>
      </c>
      <c r="X35" s="3">
        <f t="shared" si="25"/>
        <v>2.9</v>
      </c>
      <c r="Y35" s="3">
        <f t="shared" si="25"/>
        <v>2.67</v>
      </c>
      <c r="Z35" s="3">
        <f t="shared" si="25"/>
        <v>2.0099999999999998</v>
      </c>
    </row>
    <row r="36" spans="1:26" ht="15.5" x14ac:dyDescent="0.35">
      <c r="B36" t="s">
        <v>59</v>
      </c>
      <c r="C36" t="s">
        <v>60</v>
      </c>
      <c r="D36" s="4">
        <f>IFERROR(INDEX(D51:D500,MATCH($C$36,$C$51:$C$500,0)),"")</f>
        <v>0</v>
      </c>
      <c r="H36" s="4">
        <f t="shared" ref="H36:Z36" si="26">IFERROR(INDEX(H51:H500,MATCH($C$36,$C$51:$C$500,0)),"")</f>
        <v>0.84620000000000006</v>
      </c>
      <c r="I36" s="4">
        <f t="shared" si="26"/>
        <v>0.92559999999999998</v>
      </c>
      <c r="J36" s="4">
        <f t="shared" si="26"/>
        <v>0.86519999999999997</v>
      </c>
      <c r="K36" s="4">
        <f t="shared" si="26"/>
        <v>0.8044</v>
      </c>
      <c r="L36" s="4">
        <f t="shared" si="26"/>
        <v>0.85370000000000001</v>
      </c>
      <c r="M36" s="4">
        <f t="shared" si="26"/>
        <v>0.85010000000000008</v>
      </c>
      <c r="N36" s="4">
        <f t="shared" si="26"/>
        <v>0.80359999999999998</v>
      </c>
      <c r="O36" s="4">
        <f t="shared" si="26"/>
        <v>0.74170000000000003</v>
      </c>
      <c r="P36" s="4">
        <f t="shared" si="26"/>
        <v>0.61439999999999995</v>
      </c>
      <c r="Q36" s="4">
        <f t="shared" si="26"/>
        <v>0.55789999999999995</v>
      </c>
      <c r="R36" s="4">
        <f t="shared" si="26"/>
        <v>0</v>
      </c>
      <c r="S36" s="4">
        <f t="shared" si="26"/>
        <v>0</v>
      </c>
      <c r="T36" s="4">
        <f t="shared" si="26"/>
        <v>0</v>
      </c>
      <c r="U36" s="4">
        <f t="shared" si="26"/>
        <v>0</v>
      </c>
      <c r="V36" s="4">
        <f t="shared" si="26"/>
        <v>0</v>
      </c>
      <c r="W36" s="4">
        <f t="shared" si="26"/>
        <v>0</v>
      </c>
      <c r="X36" s="4">
        <f t="shared" si="26"/>
        <v>0</v>
      </c>
      <c r="Y36" s="4">
        <f t="shared" si="26"/>
        <v>0</v>
      </c>
      <c r="Z36" s="4">
        <f t="shared" si="26"/>
        <v>0</v>
      </c>
    </row>
    <row r="37" spans="1:26" ht="15.5" x14ac:dyDescent="0.35">
      <c r="B37" t="s">
        <v>61</v>
      </c>
      <c r="C37" t="s">
        <v>62</v>
      </c>
      <c r="D37" s="3">
        <f>IFERROR(INDEX(D51:D500,MATCH($C$37,$C$51:$C$500,0)),"")</f>
        <v>0</v>
      </c>
      <c r="H37" s="3">
        <f t="shared" ref="H37:Z37" si="27">IFERROR(INDEX(H51:H500,MATCH($C$37,$C$51:$C$500,0)),"")</f>
        <v>346</v>
      </c>
      <c r="I37" s="3">
        <f t="shared" si="27"/>
        <v>346</v>
      </c>
      <c r="J37" s="3">
        <f t="shared" si="27"/>
        <v>343.4</v>
      </c>
      <c r="K37" s="3">
        <f t="shared" si="27"/>
        <v>319</v>
      </c>
      <c r="L37" s="3">
        <f t="shared" si="27"/>
        <v>288.22000000000003</v>
      </c>
      <c r="M37" s="3">
        <f t="shared" si="27"/>
        <v>174.25</v>
      </c>
      <c r="N37" s="3">
        <f t="shared" si="27"/>
        <v>98.91</v>
      </c>
      <c r="O37" s="3">
        <f t="shared" si="27"/>
        <v>168.2</v>
      </c>
      <c r="P37" s="3">
        <f t="shared" si="27"/>
        <v>131.13999999999999</v>
      </c>
      <c r="Q37" s="3">
        <f t="shared" si="27"/>
        <v>106.75</v>
      </c>
      <c r="R37" s="3">
        <f t="shared" si="27"/>
        <v>0</v>
      </c>
      <c r="S37" s="3">
        <f t="shared" si="27"/>
        <v>0</v>
      </c>
      <c r="T37" s="3">
        <f t="shared" si="27"/>
        <v>0</v>
      </c>
      <c r="U37" s="3">
        <f t="shared" si="27"/>
        <v>0</v>
      </c>
      <c r="V37" s="3">
        <f t="shared" si="27"/>
        <v>0</v>
      </c>
      <c r="W37" s="3">
        <f t="shared" si="27"/>
        <v>0</v>
      </c>
      <c r="X37" s="3">
        <f t="shared" si="27"/>
        <v>0</v>
      </c>
      <c r="Y37" s="3">
        <f t="shared" si="27"/>
        <v>0</v>
      </c>
      <c r="Z37" s="3">
        <f t="shared" si="27"/>
        <v>0</v>
      </c>
    </row>
    <row r="50" spans="2:26" ht="15.5" x14ac:dyDescent="0.35">
      <c r="D50" t="s">
        <v>63</v>
      </c>
      <c r="E50" t="s">
        <v>64</v>
      </c>
      <c r="F50" t="s">
        <v>65</v>
      </c>
      <c r="G50" t="s">
        <v>66</v>
      </c>
      <c r="H50" t="s">
        <v>67</v>
      </c>
      <c r="I50" t="s">
        <v>30</v>
      </c>
      <c r="J50" t="s">
        <v>31</v>
      </c>
      <c r="K50" t="s">
        <v>32</v>
      </c>
      <c r="L50" t="s">
        <v>33</v>
      </c>
      <c r="M50" t="s">
        <v>34</v>
      </c>
      <c r="N50" t="s">
        <v>311</v>
      </c>
      <c r="O50" t="s">
        <v>312</v>
      </c>
      <c r="P50" t="s">
        <v>313</v>
      </c>
      <c r="Q50" t="s">
        <v>314</v>
      </c>
      <c r="R50" t="s">
        <v>315</v>
      </c>
      <c r="S50" t="s">
        <v>316</v>
      </c>
      <c r="T50" t="s">
        <v>317</v>
      </c>
      <c r="U50" t="s">
        <v>318</v>
      </c>
      <c r="V50" t="s">
        <v>319</v>
      </c>
      <c r="W50" t="s">
        <v>320</v>
      </c>
      <c r="X50" t="s">
        <v>321</v>
      </c>
      <c r="Y50" t="s">
        <v>322</v>
      </c>
      <c r="Z50" t="s">
        <v>323</v>
      </c>
    </row>
    <row r="51" spans="2:26" ht="15.5" x14ac:dyDescent="0.35">
      <c r="B51" t="s">
        <v>68</v>
      </c>
      <c r="C51" t="s">
        <v>4</v>
      </c>
      <c r="D51" s="5">
        <v>52838024000000</v>
      </c>
      <c r="E51" s="5">
        <v>52588881000000</v>
      </c>
      <c r="F51" s="5">
        <v>52795965000000</v>
      </c>
      <c r="G51" s="5">
        <v>52527758000000</v>
      </c>
      <c r="I51" s="5">
        <v>207783368000000</v>
      </c>
      <c r="J51" s="5">
        <v>199266252000000</v>
      </c>
      <c r="K51" s="5">
        <v>188074847000000</v>
      </c>
      <c r="L51" s="5">
        <v>160811811000000</v>
      </c>
      <c r="M51" s="5">
        <v>150513112000000</v>
      </c>
      <c r="N51" s="5">
        <v>141970336000000</v>
      </c>
      <c r="O51" s="5">
        <v>127130033000000</v>
      </c>
      <c r="P51" s="5">
        <v>115761017000000</v>
      </c>
      <c r="Q51" s="5">
        <v>106688257000000</v>
      </c>
      <c r="R51" s="5">
        <v>97262568000000</v>
      </c>
      <c r="S51" s="5">
        <v>85434037000000</v>
      </c>
      <c r="T51" s="5">
        <v>75122213000000</v>
      </c>
      <c r="U51" s="5">
        <v>59461084000000</v>
      </c>
      <c r="V51" s="5">
        <v>49610421000000</v>
      </c>
      <c r="W51" s="5">
        <v>48164348000000</v>
      </c>
      <c r="X51" s="5">
        <v>44615162000000</v>
      </c>
      <c r="Y51" s="5">
        <v>35334131000000</v>
      </c>
      <c r="Z51" s="5">
        <v>28096633000000</v>
      </c>
    </row>
    <row r="52" spans="2:26" ht="15.5" x14ac:dyDescent="0.35">
      <c r="C52" t="s">
        <v>436</v>
      </c>
      <c r="D52" s="5">
        <v>49133641000000</v>
      </c>
      <c r="E52" s="5">
        <v>48581688000000</v>
      </c>
      <c r="F52" s="5">
        <v>48830043000000</v>
      </c>
      <c r="G52" s="5">
        <v>49069430000000</v>
      </c>
      <c r="I52" s="5">
        <v>192859238000000</v>
      </c>
      <c r="J52" s="5">
        <v>185272091000000</v>
      </c>
      <c r="K52" s="5">
        <v>166052387000000</v>
      </c>
      <c r="L52" s="5">
        <v>141756773000000</v>
      </c>
      <c r="M52" s="5">
        <v>137265402000000</v>
      </c>
      <c r="N52" s="5">
        <v>128910617000000</v>
      </c>
      <c r="O52" s="5">
        <v>118379729000000</v>
      </c>
      <c r="P52" s="5">
        <v>108458358000000</v>
      </c>
      <c r="Q52" s="5">
        <v>100080250000000</v>
      </c>
      <c r="R52" s="5">
        <v>92151312000000</v>
      </c>
      <c r="S52" s="5">
        <v>83007745000000</v>
      </c>
      <c r="T52" s="5">
        <v>73065777000000</v>
      </c>
      <c r="U52" s="5">
        <v>57720831000000</v>
      </c>
      <c r="V52" s="5">
        <v>48272021000000</v>
      </c>
      <c r="W52" s="5">
        <v>47296178000000</v>
      </c>
      <c r="X52" s="5">
        <v>43971493000000</v>
      </c>
      <c r="Y52" s="5">
        <v>33946341000000</v>
      </c>
      <c r="Z52" s="5">
        <v>27009627000000</v>
      </c>
    </row>
    <row r="53" spans="2:26" ht="15.5" x14ac:dyDescent="0.35">
      <c r="C53" t="s">
        <v>437</v>
      </c>
      <c r="X53" s="5">
        <v>643669000000</v>
      </c>
      <c r="Y53" s="5">
        <v>1126315000000</v>
      </c>
      <c r="Z53" s="5">
        <v>898025000000</v>
      </c>
    </row>
    <row r="54" spans="2:26" ht="15.5" x14ac:dyDescent="0.35">
      <c r="C54" t="s">
        <v>531</v>
      </c>
      <c r="E54" s="5">
        <v>-34081000000</v>
      </c>
      <c r="F54" s="5">
        <v>11837000000</v>
      </c>
      <c r="G54" s="5">
        <v>22244000000</v>
      </c>
      <c r="K54" s="5">
        <v>9078853000000</v>
      </c>
      <c r="L54" s="5">
        <v>8936995000000</v>
      </c>
      <c r="M54" s="5">
        <v>6989783000000</v>
      </c>
      <c r="N54" s="5">
        <v>6205775000000</v>
      </c>
      <c r="O54" s="5">
        <v>5373757000000</v>
      </c>
      <c r="P54" s="5">
        <v>4178213000000</v>
      </c>
      <c r="Q54" s="5">
        <v>3788965000000</v>
      </c>
      <c r="R54" s="5">
        <v>2474579000000</v>
      </c>
    </row>
    <row r="55" spans="2:26" ht="15.5" x14ac:dyDescent="0.35">
      <c r="C55" t="s">
        <v>532</v>
      </c>
      <c r="D55" s="5">
        <v>3704383000000</v>
      </c>
      <c r="E55" s="5">
        <v>4041274000000</v>
      </c>
      <c r="F55" s="5">
        <v>3954085000000</v>
      </c>
      <c r="G55" s="5">
        <v>3436084000000</v>
      </c>
      <c r="I55" s="5">
        <v>14924130000000</v>
      </c>
      <c r="J55" s="5">
        <v>13994161000000</v>
      </c>
      <c r="K55" s="5">
        <v>12943607000000</v>
      </c>
      <c r="L55" s="5">
        <v>10118043000000</v>
      </c>
      <c r="M55" s="5">
        <v>6257927000000</v>
      </c>
      <c r="N55" s="5">
        <v>6853944000000</v>
      </c>
      <c r="O55" s="5">
        <v>3376547000000</v>
      </c>
      <c r="P55" s="5">
        <v>3124446000000</v>
      </c>
      <c r="Q55" s="5">
        <v>2819042000000</v>
      </c>
      <c r="R55" s="5">
        <v>2636677000000</v>
      </c>
      <c r="S55" s="5">
        <v>2426292000000</v>
      </c>
      <c r="T55" s="5">
        <v>2056436000000</v>
      </c>
      <c r="U55" s="5">
        <v>1740253000000</v>
      </c>
      <c r="V55" s="5">
        <v>1338400000000</v>
      </c>
      <c r="W55" s="5">
        <v>868170000000</v>
      </c>
      <c r="Y55" s="5">
        <v>261475000000</v>
      </c>
      <c r="Z55" s="5">
        <v>188981000000</v>
      </c>
    </row>
    <row r="56" spans="2:26" ht="15.5" x14ac:dyDescent="0.35">
      <c r="C56" t="s">
        <v>69</v>
      </c>
      <c r="D56" s="5">
        <v>-12682992000000</v>
      </c>
      <c r="E56" s="5">
        <v>-13115570000000</v>
      </c>
      <c r="F56" s="5">
        <v>-15067636000000</v>
      </c>
      <c r="G56" s="5">
        <v>-15115367000000</v>
      </c>
      <c r="I56" s="5">
        <v>-57284939000000</v>
      </c>
      <c r="J56" s="5">
        <v>-56607595000000</v>
      </c>
      <c r="K56" s="5">
        <v>-50729968000000</v>
      </c>
      <c r="L56" s="5">
        <v>-34637415000000</v>
      </c>
      <c r="M56" s="5">
        <v>-35375608000000</v>
      </c>
      <c r="N56" s="5">
        <v>-47507513000000</v>
      </c>
      <c r="O56" s="5">
        <v>-44412000000000</v>
      </c>
      <c r="P56" s="5">
        <v>-37149523000000</v>
      </c>
      <c r="Q56" s="5">
        <v>-33297356000000</v>
      </c>
      <c r="R56" s="5">
        <v>-29622167000000</v>
      </c>
      <c r="S56" s="5">
        <v>-27154270000000</v>
      </c>
      <c r="T56" s="5">
        <v>-23679803000000</v>
      </c>
      <c r="U56" s="5">
        <v>-15354813000000</v>
      </c>
      <c r="V56" s="5">
        <v>-13126655000000</v>
      </c>
      <c r="W56" s="5">
        <v>-13737272000000</v>
      </c>
      <c r="X56" s="5">
        <v>-11726559000000</v>
      </c>
      <c r="Y56" s="5">
        <v>-12284636000000</v>
      </c>
      <c r="Z56" s="5">
        <v>-8445579000000</v>
      </c>
    </row>
    <row r="57" spans="2:26" ht="15.5" x14ac:dyDescent="0.35">
      <c r="C57" t="s">
        <v>438</v>
      </c>
      <c r="D57" s="5">
        <v>-12265296000000</v>
      </c>
      <c r="E57" s="5">
        <v>-12844719000000</v>
      </c>
      <c r="F57" s="5">
        <v>-14700960000000</v>
      </c>
      <c r="G57" s="5">
        <v>-14783174000000</v>
      </c>
      <c r="I57" s="5">
        <v>-56012924000000</v>
      </c>
      <c r="J57" s="5">
        <v>-55601330000000</v>
      </c>
      <c r="K57" s="5">
        <v>-42658864000000</v>
      </c>
      <c r="L57" s="5">
        <v>-26269701000000</v>
      </c>
      <c r="M57" s="5">
        <v>-28135797000000</v>
      </c>
      <c r="N57" s="5">
        <v>-39883405000000</v>
      </c>
      <c r="O57" s="5">
        <v>-38671838000000</v>
      </c>
      <c r="P57" s="5">
        <v>-32541395000000</v>
      </c>
      <c r="Q57" s="5">
        <v>-28652214000000</v>
      </c>
      <c r="R57" s="5">
        <v>-26176473000000</v>
      </c>
      <c r="S57" s="5">
        <v>-26141100000000</v>
      </c>
      <c r="T57" s="5">
        <v>-22684979000000</v>
      </c>
      <c r="U57" s="5">
        <v>-14590223000000</v>
      </c>
      <c r="V57" s="5">
        <v>-12599060000000</v>
      </c>
      <c r="W57" s="5">
        <v>-13275304000000</v>
      </c>
      <c r="X57" s="5">
        <v>-11448953000000</v>
      </c>
      <c r="Y57" s="5">
        <v>-12179932000000</v>
      </c>
      <c r="Z57" s="5">
        <v>-8407912000000</v>
      </c>
    </row>
    <row r="58" spans="2:26" ht="15.5" x14ac:dyDescent="0.35">
      <c r="C58" t="s">
        <v>533</v>
      </c>
      <c r="E58" s="5">
        <v>44000000</v>
      </c>
      <c r="F58" s="5">
        <v>-17000000</v>
      </c>
      <c r="G58" s="5">
        <v>-27000000</v>
      </c>
      <c r="K58" s="5">
        <v>-6917461000000</v>
      </c>
      <c r="L58" s="5">
        <v>-7359672000000</v>
      </c>
      <c r="M58" s="5">
        <v>-5946708000000</v>
      </c>
      <c r="N58" s="5">
        <v>-5327065000000</v>
      </c>
      <c r="O58" s="5">
        <v>-4363029000000</v>
      </c>
      <c r="P58" s="5">
        <v>-3232491000000</v>
      </c>
      <c r="Q58" s="5">
        <v>-3403551000000</v>
      </c>
      <c r="R58" s="5">
        <v>-2410192000000</v>
      </c>
    </row>
    <row r="59" spans="2:26" ht="15.5" x14ac:dyDescent="0.35">
      <c r="C59" t="s">
        <v>534</v>
      </c>
      <c r="D59" s="5">
        <v>-417696000000</v>
      </c>
      <c r="E59" s="5">
        <v>-270895000000</v>
      </c>
      <c r="F59" s="5">
        <v>-366659000000</v>
      </c>
      <c r="G59" s="5">
        <v>-332166000000</v>
      </c>
      <c r="I59" s="5">
        <v>-1272015000000</v>
      </c>
      <c r="J59" s="5">
        <v>-1006265000000</v>
      </c>
      <c r="K59" s="5">
        <v>-1153643000000</v>
      </c>
      <c r="L59" s="5">
        <v>-1008042000000</v>
      </c>
      <c r="M59" s="5">
        <v>-1293103000000</v>
      </c>
      <c r="N59" s="5">
        <v>-2297043000000</v>
      </c>
      <c r="O59" s="5">
        <v>-1377133000000</v>
      </c>
      <c r="P59" s="5">
        <v>-1375637000000</v>
      </c>
      <c r="Q59" s="5">
        <v>-1241591000000</v>
      </c>
      <c r="R59" s="5">
        <v>-1035502000000</v>
      </c>
      <c r="S59" s="5">
        <v>-1013170000000</v>
      </c>
      <c r="T59" s="5">
        <v>-994824000000</v>
      </c>
      <c r="U59" s="5">
        <v>-764590000000</v>
      </c>
      <c r="V59" s="5">
        <v>-527595000000</v>
      </c>
      <c r="W59" s="5">
        <v>-461968000000</v>
      </c>
      <c r="X59" s="5">
        <v>-277606000000</v>
      </c>
      <c r="Y59" s="5">
        <v>-104704000000</v>
      </c>
      <c r="Z59" s="5">
        <v>-37667000000</v>
      </c>
    </row>
    <row r="60" spans="2:26" ht="15.5" x14ac:dyDescent="0.35">
      <c r="C60" t="s">
        <v>440</v>
      </c>
      <c r="D60" s="5">
        <v>-12682992000000</v>
      </c>
      <c r="E60" s="5">
        <v>-13115570000000</v>
      </c>
      <c r="F60" s="5">
        <v>-15067636000000</v>
      </c>
      <c r="G60" s="5">
        <v>-15115367000000</v>
      </c>
      <c r="I60" s="5">
        <v>-57284939000000</v>
      </c>
      <c r="J60" s="5">
        <v>-56607595000000</v>
      </c>
      <c r="K60" s="5">
        <v>-50729968000000</v>
      </c>
      <c r="L60" s="5">
        <v>-34637415000000</v>
      </c>
      <c r="M60" s="5">
        <v>-35375608000000</v>
      </c>
      <c r="N60" s="5">
        <v>-47507513000000</v>
      </c>
      <c r="O60" s="5">
        <v>-44412000000000</v>
      </c>
      <c r="P60" s="5">
        <v>-37149523000000</v>
      </c>
      <c r="Q60" s="5">
        <v>-33297356000000</v>
      </c>
      <c r="R60" s="5">
        <v>-29622167000000</v>
      </c>
      <c r="S60" s="5">
        <v>-27154270000000</v>
      </c>
      <c r="T60" s="5">
        <v>-23679803000000</v>
      </c>
      <c r="U60" s="5">
        <v>-15354813000000</v>
      </c>
      <c r="V60" s="5">
        <v>-13126655000000</v>
      </c>
      <c r="W60" s="5">
        <v>-13737272000000</v>
      </c>
      <c r="X60" s="5">
        <v>-11726559000000</v>
      </c>
      <c r="Y60" s="5">
        <v>-12284636000000</v>
      </c>
      <c r="Z60" s="5">
        <v>-8445579000000</v>
      </c>
    </row>
    <row r="61" spans="2:26" ht="15.5" x14ac:dyDescent="0.35">
      <c r="C61" t="s">
        <v>70</v>
      </c>
      <c r="D61" s="5">
        <v>40155032000000</v>
      </c>
      <c r="E61" s="5">
        <v>39473311000000</v>
      </c>
      <c r="F61" s="5">
        <v>37728329000000</v>
      </c>
      <c r="G61" s="5">
        <v>37412391000000</v>
      </c>
      <c r="I61" s="5">
        <v>150498429000000</v>
      </c>
      <c r="J61" s="5">
        <v>142658657000000</v>
      </c>
      <c r="K61" s="5">
        <v>137344879000000</v>
      </c>
      <c r="L61" s="5">
        <v>126174396000000</v>
      </c>
      <c r="M61" s="5">
        <v>115137504000000</v>
      </c>
      <c r="N61" s="5">
        <v>94462823000000</v>
      </c>
      <c r="O61" s="5">
        <v>82718033000000</v>
      </c>
      <c r="P61" s="5">
        <v>78611494000000</v>
      </c>
      <c r="Q61" s="5">
        <v>73390901000000</v>
      </c>
      <c r="R61" s="5">
        <v>67640401000000</v>
      </c>
      <c r="S61" s="5">
        <v>58279767000000</v>
      </c>
      <c r="T61" s="5">
        <v>51442410000000</v>
      </c>
      <c r="U61" s="5">
        <v>44106271000000</v>
      </c>
      <c r="V61" s="5">
        <v>36483766000000</v>
      </c>
      <c r="W61" s="5">
        <v>34427076000000</v>
      </c>
      <c r="X61" s="5">
        <v>32888603000000</v>
      </c>
      <c r="Y61" s="5">
        <v>23049495000000</v>
      </c>
      <c r="Z61" s="5">
        <v>19651054000000</v>
      </c>
    </row>
    <row r="62" spans="2:26" ht="15.5" x14ac:dyDescent="0.35">
      <c r="C62" t="s">
        <v>71</v>
      </c>
      <c r="D62" s="5">
        <v>-20095161000000</v>
      </c>
      <c r="E62" s="5">
        <v>-19296005000000</v>
      </c>
      <c r="F62" s="5">
        <v>-19662722000000</v>
      </c>
      <c r="G62" s="5">
        <v>-20026831000000</v>
      </c>
      <c r="I62" s="5">
        <v>-77250548000000</v>
      </c>
      <c r="J62" s="5">
        <v>-64442810000000</v>
      </c>
      <c r="K62" s="5">
        <v>-60516142000000</v>
      </c>
      <c r="L62" s="5">
        <v>-61868359000000</v>
      </c>
      <c r="M62" s="5">
        <v>-73993122000000</v>
      </c>
      <c r="N62" s="5">
        <v>-64684122000000</v>
      </c>
      <c r="O62" s="5">
        <v>-39286100000000</v>
      </c>
      <c r="P62" s="5">
        <v>-36885617000000</v>
      </c>
      <c r="Q62" s="5">
        <v>-36585067000000</v>
      </c>
      <c r="R62" s="5">
        <v>-33675859000000</v>
      </c>
      <c r="S62" s="5">
        <v>-27766860000000</v>
      </c>
      <c r="T62" s="5">
        <v>-23080533000000</v>
      </c>
      <c r="U62" s="5">
        <v>-17978694000000</v>
      </c>
      <c r="V62" s="5">
        <v>-13801228000000</v>
      </c>
      <c r="W62" s="5">
        <v>-16842846000000</v>
      </c>
      <c r="X62" s="5">
        <v>-18486602000000</v>
      </c>
      <c r="Y62" s="5">
        <v>-14488836000000</v>
      </c>
      <c r="Z62" s="5">
        <v>-11304941000000</v>
      </c>
    </row>
    <row r="63" spans="2:26" ht="15.5" x14ac:dyDescent="0.35">
      <c r="C63" t="s">
        <v>441</v>
      </c>
    </row>
    <row r="64" spans="2:26" ht="15.5" x14ac:dyDescent="0.35">
      <c r="C64" t="s">
        <v>535</v>
      </c>
      <c r="D64" s="5">
        <v>4326915000000</v>
      </c>
      <c r="E64" s="5">
        <v>5695791000000</v>
      </c>
      <c r="F64" s="5">
        <v>5072764000000</v>
      </c>
      <c r="G64" s="5">
        <v>5212746000000</v>
      </c>
      <c r="I64" s="5">
        <v>20952308000000</v>
      </c>
      <c r="J64" s="5">
        <v>25363951000000</v>
      </c>
      <c r="K64" s="5">
        <v>16833578000000</v>
      </c>
      <c r="L64" s="5">
        <v>12468321000000</v>
      </c>
      <c r="M64" s="5">
        <v>9005760000000</v>
      </c>
      <c r="N64" s="5">
        <v>7252171000000</v>
      </c>
      <c r="O64" s="5">
        <v>7065981000000</v>
      </c>
      <c r="P64" s="5">
        <v>6209435000000</v>
      </c>
      <c r="Q64" s="5">
        <v>5050713000000</v>
      </c>
      <c r="R64" s="5">
        <v>4496825000000</v>
      </c>
      <c r="S64" s="5">
        <v>2341945000000</v>
      </c>
      <c r="T64" s="5">
        <v>2100676000000</v>
      </c>
      <c r="U64" s="5">
        <v>1948158000000</v>
      </c>
      <c r="V64" s="5">
        <v>2258387000000</v>
      </c>
      <c r="W64" s="5">
        <v>1797048000000</v>
      </c>
      <c r="X64" s="5">
        <v>1525143000000</v>
      </c>
    </row>
    <row r="65" spans="3:26" ht="15.5" x14ac:dyDescent="0.35">
      <c r="C65" t="s">
        <v>443</v>
      </c>
      <c r="D65" s="5">
        <v>580513000000</v>
      </c>
      <c r="E65" s="5">
        <v>530733000000</v>
      </c>
      <c r="F65" s="5">
        <v>238359000000</v>
      </c>
      <c r="G65" s="5">
        <v>571138000000</v>
      </c>
      <c r="I65" s="5">
        <v>2087065000000</v>
      </c>
      <c r="J65" s="5">
        <v>1187802000000</v>
      </c>
      <c r="K65" s="5">
        <v>402526000000</v>
      </c>
      <c r="L65" s="5">
        <v>1132079000000</v>
      </c>
      <c r="M65" s="5">
        <v>1713531000000</v>
      </c>
      <c r="N65" s="5">
        <v>1257838000000</v>
      </c>
      <c r="O65" s="5">
        <v>154157000000</v>
      </c>
      <c r="P65" s="5">
        <v>951009000000</v>
      </c>
      <c r="Q65" s="5">
        <v>183974000000</v>
      </c>
      <c r="S65" s="5">
        <v>467167000000</v>
      </c>
      <c r="T65" s="5">
        <v>237304000000</v>
      </c>
      <c r="U65" s="5">
        <v>477524000000</v>
      </c>
      <c r="V65" s="5">
        <v>428800000000</v>
      </c>
      <c r="W65" s="5">
        <v>35521000000</v>
      </c>
      <c r="X65" s="5">
        <v>773019000000</v>
      </c>
      <c r="Y65" s="5">
        <v>713431000000</v>
      </c>
      <c r="Z65" s="5">
        <v>613641000000</v>
      </c>
    </row>
    <row r="66" spans="3:26" ht="15.5" x14ac:dyDescent="0.35">
      <c r="C66" t="s">
        <v>445</v>
      </c>
    </row>
    <row r="67" spans="3:26" ht="15.5" x14ac:dyDescent="0.35">
      <c r="C67" t="s">
        <v>442</v>
      </c>
      <c r="D67" s="5">
        <v>5507050000000</v>
      </c>
      <c r="E67" s="5">
        <v>5743354000000</v>
      </c>
      <c r="F67" s="5">
        <v>5310800000000</v>
      </c>
      <c r="G67" s="5">
        <v>5194484000000</v>
      </c>
      <c r="I67" s="5">
        <v>21447045000000</v>
      </c>
      <c r="J67" s="5">
        <v>20390833000000</v>
      </c>
      <c r="K67" s="5">
        <v>20737913000000</v>
      </c>
      <c r="L67" s="5">
        <v>18794964000000</v>
      </c>
      <c r="M67" s="5">
        <v>17062124000000</v>
      </c>
      <c r="N67" s="5">
        <v>16180935000000</v>
      </c>
      <c r="O67" s="5">
        <v>14505762000000</v>
      </c>
      <c r="P67" s="5">
        <v>12018941000000</v>
      </c>
      <c r="Q67" s="5">
        <v>10442240000000</v>
      </c>
      <c r="R67" s="5">
        <v>9222558000000</v>
      </c>
      <c r="S67" s="5">
        <v>7355973000000</v>
      </c>
      <c r="T67" s="5">
        <v>6072460000000</v>
      </c>
      <c r="U67" s="5">
        <v>4862438000000</v>
      </c>
      <c r="V67" s="5">
        <v>230961000000</v>
      </c>
      <c r="W67" s="5">
        <v>151155000000</v>
      </c>
      <c r="X67" s="5">
        <v>80253000000</v>
      </c>
      <c r="Y67" s="5">
        <v>75203000000</v>
      </c>
      <c r="Z67" s="5">
        <v>57829000000</v>
      </c>
    </row>
    <row r="68" spans="3:26" ht="15.5" x14ac:dyDescent="0.35">
      <c r="C68" t="s">
        <v>447</v>
      </c>
      <c r="E68" s="5">
        <v>80441000000</v>
      </c>
      <c r="F68" s="5">
        <v>80218000000</v>
      </c>
      <c r="I68" s="5">
        <v>160659000000</v>
      </c>
      <c r="U68" s="5">
        <v>-13208000000</v>
      </c>
      <c r="V68" s="5">
        <v>13371000000</v>
      </c>
      <c r="W68" s="5">
        <v>13651000000</v>
      </c>
      <c r="X68" s="5">
        <v>3321000000</v>
      </c>
      <c r="Y68" s="5">
        <v>127305000000</v>
      </c>
      <c r="Z68" s="5">
        <v>-150277000000</v>
      </c>
    </row>
    <row r="69" spans="3:26" ht="15.5" x14ac:dyDescent="0.35">
      <c r="C69" t="s">
        <v>73</v>
      </c>
      <c r="D69" s="5">
        <v>-1892484000000</v>
      </c>
      <c r="E69" s="5">
        <v>-1755980000000</v>
      </c>
      <c r="F69" s="5">
        <v>1088260000000</v>
      </c>
      <c r="G69" s="5">
        <v>3263532000000</v>
      </c>
      <c r="I69" s="5">
        <v>2909006000000</v>
      </c>
      <c r="J69" s="5">
        <v>1564472000000</v>
      </c>
      <c r="K69" s="5">
        <v>628611000000</v>
      </c>
      <c r="L69" s="5">
        <v>-2839024000000</v>
      </c>
      <c r="M69" s="5">
        <v>-5599323000000</v>
      </c>
      <c r="N69" s="5">
        <v>716344000000</v>
      </c>
      <c r="O69" s="5">
        <v>5084772000000</v>
      </c>
      <c r="P69" s="5">
        <v>-3477661000000</v>
      </c>
      <c r="Q69" s="5">
        <v>1832681000000</v>
      </c>
      <c r="R69" s="5">
        <v>15152016000000</v>
      </c>
      <c r="S69" s="5">
        <v>-538658000000</v>
      </c>
      <c r="T69" s="5">
        <v>506154000000</v>
      </c>
      <c r="U69" s="5">
        <v>-1437676000000</v>
      </c>
      <c r="V69" s="5">
        <v>-6030000000</v>
      </c>
      <c r="W69" s="5">
        <v>208505000000</v>
      </c>
    </row>
    <row r="70" spans="3:26" ht="15.5" x14ac:dyDescent="0.35">
      <c r="C70" t="s">
        <v>448</v>
      </c>
      <c r="D70" s="5">
        <v>47531056000000</v>
      </c>
      <c r="E70" s="5">
        <v>36386099000000</v>
      </c>
      <c r="F70" s="5">
        <v>29005619000000</v>
      </c>
      <c r="G70" s="5">
        <v>31212382000000</v>
      </c>
      <c r="I70" s="5">
        <v>122910518000000</v>
      </c>
      <c r="J70" s="5">
        <v>79487022000000</v>
      </c>
      <c r="K70" s="5">
        <v>45945429000000</v>
      </c>
      <c r="L70" s="5">
        <v>47302800000000</v>
      </c>
      <c r="M70" s="5">
        <v>41215807000000</v>
      </c>
      <c r="N70" s="5">
        <v>38099755000000</v>
      </c>
      <c r="O70" s="5">
        <v>28439130000000</v>
      </c>
      <c r="P70" s="5">
        <v>23425430000000</v>
      </c>
      <c r="Q70" s="5">
        <v>19091067000000</v>
      </c>
      <c r="R70" s="5">
        <v>17213112000000</v>
      </c>
      <c r="S70" s="5">
        <v>12409041000000</v>
      </c>
      <c r="T70" s="5">
        <v>9292740000000</v>
      </c>
      <c r="U70" s="5">
        <v>8335251000000</v>
      </c>
      <c r="V70" s="5">
        <v>8389732000000</v>
      </c>
      <c r="W70" s="5">
        <v>5775975000000</v>
      </c>
      <c r="X70" s="5">
        <v>5544533000000</v>
      </c>
      <c r="Y70" s="5">
        <v>3269594000000</v>
      </c>
      <c r="Z70" s="5">
        <v>2384959000000</v>
      </c>
    </row>
    <row r="71" spans="3:26" ht="15.5" x14ac:dyDescent="0.35">
      <c r="C71" t="s">
        <v>449</v>
      </c>
    </row>
    <row r="72" spans="3:26" ht="15.5" x14ac:dyDescent="0.35">
      <c r="C72" t="s">
        <v>450</v>
      </c>
      <c r="D72" s="5">
        <v>-15734000000</v>
      </c>
      <c r="E72" s="5">
        <v>-73821000000</v>
      </c>
      <c r="F72" s="5">
        <v>-7151000000</v>
      </c>
      <c r="G72" s="5">
        <v>-2590000000</v>
      </c>
      <c r="I72" s="5">
        <v>-82414000000</v>
      </c>
      <c r="J72" s="5">
        <v>-13008000000</v>
      </c>
      <c r="K72" s="5">
        <v>-497848000000</v>
      </c>
      <c r="L72" s="5">
        <v>-137431000000</v>
      </c>
      <c r="M72" s="5">
        <v>-163243000000</v>
      </c>
      <c r="N72" s="5">
        <v>-98374000000</v>
      </c>
      <c r="O72" s="5">
        <v>-595015000000</v>
      </c>
      <c r="P72" s="5">
        <v>-528982000000</v>
      </c>
      <c r="Q72" s="5">
        <v>-239132000000</v>
      </c>
      <c r="R72" s="5">
        <v>-90757000000</v>
      </c>
      <c r="S72" s="5">
        <v>-8056000000</v>
      </c>
      <c r="T72" s="5">
        <v>2721000000</v>
      </c>
      <c r="U72" s="5">
        <v>1309000000</v>
      </c>
      <c r="V72" s="5">
        <v>-31489000000</v>
      </c>
      <c r="W72" s="5">
        <v>164841000000</v>
      </c>
      <c r="X72" s="5">
        <v>-45222000000</v>
      </c>
      <c r="Y72" s="5">
        <v>-362649000000</v>
      </c>
      <c r="Z72" s="5">
        <v>59140000000</v>
      </c>
    </row>
    <row r="73" spans="3:26" ht="15.5" x14ac:dyDescent="0.35">
      <c r="C73" t="s">
        <v>536</v>
      </c>
      <c r="D73" s="5">
        <v>214741000000</v>
      </c>
      <c r="E73" s="5">
        <v>402406000000</v>
      </c>
      <c r="F73" s="5">
        <v>-5705000000</v>
      </c>
      <c r="G73" s="5">
        <v>-135081000000</v>
      </c>
      <c r="I73" s="5">
        <v>624058000000</v>
      </c>
      <c r="J73" s="5">
        <v>3596482000000</v>
      </c>
      <c r="K73" s="5">
        <v>341994000000</v>
      </c>
      <c r="L73" s="5">
        <v>543145000000</v>
      </c>
      <c r="M73" s="5">
        <v>-3321266000000</v>
      </c>
      <c r="N73" s="5">
        <v>-2157162000000</v>
      </c>
      <c r="O73" s="5">
        <v>-608271000000</v>
      </c>
      <c r="P73" s="5">
        <v>912000000</v>
      </c>
      <c r="Q73" s="5">
        <v>-1239000000</v>
      </c>
      <c r="R73" s="5">
        <v>347000000</v>
      </c>
      <c r="S73" s="5">
        <v>-844000000</v>
      </c>
      <c r="T73" s="5">
        <v>-175000000</v>
      </c>
      <c r="U73" s="5">
        <v>191000000</v>
      </c>
      <c r="V73" s="5">
        <v>-262000000</v>
      </c>
      <c r="W73" s="5">
        <v>93623000000</v>
      </c>
      <c r="X73" s="5">
        <v>8315000000</v>
      </c>
      <c r="Y73" s="5">
        <v>-14767000000</v>
      </c>
      <c r="Z73" s="5">
        <v>-13141000000</v>
      </c>
    </row>
    <row r="74" spans="3:26" ht="15.5" x14ac:dyDescent="0.35">
      <c r="C74" t="s">
        <v>451</v>
      </c>
      <c r="D74" s="5">
        <v>-11692590000000</v>
      </c>
      <c r="E74" s="5">
        <v>-9450135000000</v>
      </c>
      <c r="F74" s="5">
        <v>-10928379000000</v>
      </c>
      <c r="G74" s="5">
        <v>-11057301000000</v>
      </c>
      <c r="I74" s="5">
        <v>-42113566000000</v>
      </c>
      <c r="J74" s="5">
        <v>-38616534000000</v>
      </c>
      <c r="K74" s="5">
        <v>-37850275000000</v>
      </c>
      <c r="L74" s="5">
        <v>-39390133000000</v>
      </c>
      <c r="M74" s="5">
        <v>-38047126000000</v>
      </c>
      <c r="N74" s="5">
        <v>-33105269000000</v>
      </c>
      <c r="O74" s="5">
        <v>-24243276000000</v>
      </c>
      <c r="P74" s="5">
        <v>-22423271000000</v>
      </c>
      <c r="Q74" s="5">
        <v>-20352004000000</v>
      </c>
      <c r="R74" s="5">
        <v>-18485014000000</v>
      </c>
      <c r="S74" s="5">
        <v>-16599158000000</v>
      </c>
      <c r="T74" s="5">
        <v>-14111461000000</v>
      </c>
      <c r="U74" s="5">
        <v>-12231994000000</v>
      </c>
      <c r="V74" s="5">
        <v>-9605547000000</v>
      </c>
      <c r="W74" s="5">
        <v>-8700847000000</v>
      </c>
      <c r="X74" s="5">
        <v>-8675721000000</v>
      </c>
      <c r="Y74" s="5">
        <v>-6675793000000</v>
      </c>
      <c r="Z74" s="5">
        <v>-6329075000000</v>
      </c>
    </row>
    <row r="75" spans="3:26" ht="15.5" x14ac:dyDescent="0.35">
      <c r="C75" t="s">
        <v>452</v>
      </c>
      <c r="D75" s="5">
        <v>-7911245000000</v>
      </c>
      <c r="E75" s="5">
        <v>-11490439000000</v>
      </c>
      <c r="F75" s="5">
        <v>-7546602000000</v>
      </c>
      <c r="G75" s="5">
        <v>-7592663000000</v>
      </c>
      <c r="I75" s="5">
        <v>-33776049000000</v>
      </c>
      <c r="J75" s="5">
        <v>-29288456000000</v>
      </c>
      <c r="K75" s="5">
        <v>-28484209000000</v>
      </c>
      <c r="L75" s="5">
        <v>-25958686000000</v>
      </c>
      <c r="M75" s="5">
        <v>-23269044000000</v>
      </c>
      <c r="N75" s="5">
        <v>-21004682000000</v>
      </c>
      <c r="O75" s="5">
        <v>-15366752000000</v>
      </c>
      <c r="P75" s="5">
        <v>-14364278000000</v>
      </c>
      <c r="Q75" s="5">
        <v>-13146944000000</v>
      </c>
      <c r="R75" s="5">
        <v>-11975745000000</v>
      </c>
      <c r="S75" s="5">
        <v>-10380547000000</v>
      </c>
      <c r="T75" s="5">
        <v>-9184155000000</v>
      </c>
      <c r="U75" s="5">
        <v>-7518886000000</v>
      </c>
      <c r="V75" s="5">
        <v>-6343661000000</v>
      </c>
      <c r="W75" s="5">
        <v>-5678786000000</v>
      </c>
      <c r="X75" s="5">
        <v>-4711444000000</v>
      </c>
      <c r="Y75" s="5">
        <v>-3717931000000</v>
      </c>
      <c r="Z75" s="5">
        <v>-3087606000000</v>
      </c>
    </row>
    <row r="76" spans="3:26" ht="15.5" x14ac:dyDescent="0.35">
      <c r="C76" t="s">
        <v>537</v>
      </c>
      <c r="R76" s="5">
        <v>-273832000000</v>
      </c>
    </row>
    <row r="77" spans="3:26" ht="15.5" x14ac:dyDescent="0.35">
      <c r="C77" t="s">
        <v>538</v>
      </c>
      <c r="R77" s="5">
        <v>-1364741000000</v>
      </c>
      <c r="S77" s="5">
        <v>-1296475000000</v>
      </c>
      <c r="T77" s="5">
        <v>-1030657000000</v>
      </c>
      <c r="U77" s="5">
        <v>-911957000000</v>
      </c>
      <c r="V77" s="5">
        <v>-749297000000</v>
      </c>
      <c r="W77" s="5">
        <v>-624057000000</v>
      </c>
      <c r="X77" s="5">
        <v>-523991000000</v>
      </c>
      <c r="Y77" s="5">
        <v>-424003000000</v>
      </c>
      <c r="Z77" s="5">
        <v>-349065000000</v>
      </c>
    </row>
    <row r="78" spans="3:26" ht="15.5" x14ac:dyDescent="0.35">
      <c r="C78" t="s">
        <v>454</v>
      </c>
      <c r="D78" s="5">
        <v>-67626217000000</v>
      </c>
      <c r="E78" s="5">
        <v>-55682104000000</v>
      </c>
      <c r="F78" s="5">
        <v>-48668341000000</v>
      </c>
      <c r="G78" s="5">
        <v>-51239213000000</v>
      </c>
      <c r="I78" s="5">
        <v>-200161066000000</v>
      </c>
      <c r="J78" s="5">
        <v>-143929832000000</v>
      </c>
      <c r="K78" s="5">
        <v>-106461571000000</v>
      </c>
      <c r="L78" s="5">
        <v>-109171159000000</v>
      </c>
      <c r="M78" s="5">
        <v>-115208929000000</v>
      </c>
      <c r="N78" s="5">
        <v>-102783877000000</v>
      </c>
      <c r="O78" s="5">
        <v>-67725230000000</v>
      </c>
      <c r="P78" s="5">
        <v>-60311047000000</v>
      </c>
      <c r="Q78" s="5">
        <v>-55676134000000</v>
      </c>
      <c r="R78" s="5">
        <v>-50888971000000</v>
      </c>
      <c r="S78" s="5">
        <v>-40175901000000</v>
      </c>
      <c r="T78" s="5">
        <v>-32373273000000</v>
      </c>
      <c r="U78" s="5">
        <v>-26313945000000</v>
      </c>
      <c r="V78" s="5">
        <v>-22190960000000</v>
      </c>
      <c r="W78" s="5">
        <v>-22618821000000</v>
      </c>
      <c r="X78" s="5">
        <v>-24031135000000</v>
      </c>
      <c r="Y78" s="5">
        <v>-17758430000000</v>
      </c>
      <c r="Z78" s="5">
        <v>-13689900000000</v>
      </c>
    </row>
    <row r="79" spans="3:26" ht="15.5" x14ac:dyDescent="0.35">
      <c r="C79" t="s">
        <v>391</v>
      </c>
    </row>
    <row r="80" spans="3:26" ht="15.5" x14ac:dyDescent="0.35">
      <c r="C80" t="s">
        <v>74</v>
      </c>
      <c r="D80" s="5">
        <v>20059871000000</v>
      </c>
      <c r="E80" s="5">
        <v>20177306000000</v>
      </c>
      <c r="F80" s="5">
        <v>18065607000000</v>
      </c>
      <c r="G80" s="5">
        <v>17385560000000</v>
      </c>
      <c r="I80" s="5">
        <v>73247881000000</v>
      </c>
      <c r="J80" s="5">
        <v>78215847000000</v>
      </c>
      <c r="K80" s="5">
        <v>76828737000000</v>
      </c>
      <c r="L80" s="5">
        <v>64306037000000</v>
      </c>
      <c r="M80" s="5">
        <v>41144382000000</v>
      </c>
      <c r="N80" s="5">
        <v>29778701000000</v>
      </c>
      <c r="O80" s="5">
        <v>43431933000000</v>
      </c>
      <c r="P80" s="5">
        <v>41725877000000</v>
      </c>
      <c r="Q80" s="5">
        <v>36805834000000</v>
      </c>
      <c r="R80" s="5">
        <v>33964542000000</v>
      </c>
      <c r="S80" s="5">
        <v>30512907000000</v>
      </c>
      <c r="T80" s="5">
        <v>28361877000000</v>
      </c>
      <c r="U80" s="5">
        <v>26127577000000</v>
      </c>
      <c r="V80" s="5">
        <v>22682538000000</v>
      </c>
      <c r="W80" s="5">
        <v>17584230000000</v>
      </c>
      <c r="X80" s="5">
        <v>14402001000000</v>
      </c>
      <c r="Y80" s="5">
        <v>8560659000000</v>
      </c>
      <c r="Z80" s="5">
        <v>8346113000000</v>
      </c>
    </row>
    <row r="81" spans="3:26" ht="15.5" x14ac:dyDescent="0.35">
      <c r="C81" t="s">
        <v>75</v>
      </c>
      <c r="D81" s="5">
        <v>-74243000000</v>
      </c>
      <c r="E81" s="5">
        <v>-248048000000</v>
      </c>
      <c r="F81" s="5">
        <v>53758000000</v>
      </c>
      <c r="G81" s="5">
        <v>-22191000000</v>
      </c>
      <c r="I81" s="5">
        <v>-455062000000</v>
      </c>
      <c r="J81" s="5">
        <v>-963653000000</v>
      </c>
      <c r="K81" s="5">
        <v>-399025000000</v>
      </c>
      <c r="L81" s="5">
        <v>290664000000</v>
      </c>
      <c r="M81" s="5">
        <v>-152317000000</v>
      </c>
      <c r="N81" s="5">
        <v>214705000000</v>
      </c>
      <c r="O81" s="5">
        <v>-67880000000</v>
      </c>
      <c r="P81" s="5">
        <v>27817000000</v>
      </c>
      <c r="Q81" s="5">
        <v>216323000000</v>
      </c>
      <c r="R81" s="5">
        <v>9228000000</v>
      </c>
      <c r="S81" s="5">
        <v>1981111000000</v>
      </c>
      <c r="T81" s="5">
        <v>2497196000000</v>
      </c>
      <c r="U81" s="5">
        <v>1782489000000</v>
      </c>
      <c r="V81" s="5">
        <v>1177034000000</v>
      </c>
      <c r="W81" s="5">
        <v>1171650000000</v>
      </c>
      <c r="X81" s="5">
        <v>506229000000</v>
      </c>
      <c r="Y81" s="5">
        <v>1330569000000</v>
      </c>
      <c r="Z81" s="5">
        <v>475899000000</v>
      </c>
    </row>
    <row r="82" spans="3:26" ht="15.5" x14ac:dyDescent="0.35">
      <c r="C82" t="s">
        <v>27</v>
      </c>
      <c r="D82" s="5">
        <v>19985628000000</v>
      </c>
      <c r="E82" s="5">
        <v>19929258000000</v>
      </c>
      <c r="F82" s="5">
        <v>18119365000000</v>
      </c>
      <c r="G82" s="5">
        <v>17363369000000</v>
      </c>
      <c r="I82" s="5">
        <v>72792819000000</v>
      </c>
      <c r="J82" s="5">
        <v>77252194000000</v>
      </c>
      <c r="K82" s="5">
        <v>76429712000000</v>
      </c>
      <c r="L82" s="5">
        <v>64596701000000</v>
      </c>
      <c r="M82" s="5">
        <v>40992065000000</v>
      </c>
      <c r="N82" s="5">
        <v>29993406000000</v>
      </c>
      <c r="O82" s="5">
        <v>43364053000000</v>
      </c>
      <c r="P82" s="5">
        <v>41753694000000</v>
      </c>
      <c r="Q82" s="5">
        <v>37022157000000</v>
      </c>
      <c r="R82" s="5">
        <v>33973770000000</v>
      </c>
      <c r="S82" s="5">
        <v>32494018000000</v>
      </c>
      <c r="T82" s="5">
        <v>30859073000000</v>
      </c>
      <c r="U82" s="5">
        <v>27910066000000</v>
      </c>
      <c r="V82" s="5">
        <v>23859572000000</v>
      </c>
      <c r="W82" s="5">
        <v>18755880000000</v>
      </c>
      <c r="X82" s="5">
        <v>14908230000000</v>
      </c>
      <c r="Y82" s="5">
        <v>9891228000000</v>
      </c>
      <c r="Z82" s="5">
        <v>8822012000000</v>
      </c>
    </row>
    <row r="83" spans="3:26" ht="15.5" x14ac:dyDescent="0.35">
      <c r="C83" t="s">
        <v>26</v>
      </c>
      <c r="D83" s="5">
        <v>-4351779000000</v>
      </c>
      <c r="E83" s="5">
        <v>-4029129000000</v>
      </c>
      <c r="F83" s="5">
        <v>-3420276000000</v>
      </c>
      <c r="G83" s="5">
        <v>-4572331000000</v>
      </c>
      <c r="I83" s="5">
        <v>-15660454000000</v>
      </c>
      <c r="J83" s="5">
        <v>-16945848000000</v>
      </c>
      <c r="K83" s="5">
        <v>-16004664000000</v>
      </c>
      <c r="L83" s="5">
        <v>-13188494000000</v>
      </c>
      <c r="M83" s="5">
        <v>-7835608000000</v>
      </c>
      <c r="N83" s="5">
        <v>-8951971000000</v>
      </c>
      <c r="O83" s="5">
        <v>-8950228000000</v>
      </c>
      <c r="P83" s="5">
        <v>-9335208000000</v>
      </c>
      <c r="Q83" s="5">
        <v>-7977823000000</v>
      </c>
      <c r="R83" s="5">
        <v>-7745779000000</v>
      </c>
      <c r="S83" s="5">
        <v>-7083230000000</v>
      </c>
      <c r="T83" s="5">
        <v>-6605228000000</v>
      </c>
      <c r="U83" s="5">
        <v>-6555736000000</v>
      </c>
      <c r="V83" s="5">
        <v>-5172192000000</v>
      </c>
      <c r="W83" s="5">
        <v>-3667884000000</v>
      </c>
      <c r="X83" s="5">
        <v>-3435845000000</v>
      </c>
      <c r="Y83" s="5">
        <v>-2582936000000</v>
      </c>
      <c r="Z83" s="5">
        <v>-2863644000000</v>
      </c>
    </row>
    <row r="84" spans="3:26" ht="15.5" x14ac:dyDescent="0.35">
      <c r="C84" t="s">
        <v>456</v>
      </c>
      <c r="W84" s="5">
        <v>-4075204000000</v>
      </c>
      <c r="X84" s="5">
        <v>-3922049000000</v>
      </c>
      <c r="Y84" s="5">
        <v>-2633880000000</v>
      </c>
      <c r="Z84" s="5">
        <v>-3382854000000</v>
      </c>
    </row>
    <row r="85" spans="3:26" ht="15.5" x14ac:dyDescent="0.35">
      <c r="C85" t="s">
        <v>457</v>
      </c>
      <c r="W85" s="5">
        <v>407320000000</v>
      </c>
      <c r="X85" s="5">
        <v>486204000000</v>
      </c>
      <c r="Y85" s="5">
        <v>50944000000</v>
      </c>
      <c r="Z85" s="5">
        <v>519210000000</v>
      </c>
    </row>
    <row r="86" spans="3:26" ht="15.5" x14ac:dyDescent="0.35">
      <c r="C86" t="s">
        <v>458</v>
      </c>
      <c r="D86" s="5">
        <v>-4351779000000</v>
      </c>
      <c r="E86" s="5">
        <v>-4029129000000</v>
      </c>
      <c r="F86" s="5">
        <v>-3420276000000</v>
      </c>
      <c r="G86" s="5">
        <v>-4572331000000</v>
      </c>
      <c r="I86" s="5">
        <v>-15660454000000</v>
      </c>
      <c r="J86" s="5">
        <v>-16945848000000</v>
      </c>
      <c r="K86" s="5">
        <v>-16004664000000</v>
      </c>
      <c r="L86" s="5">
        <v>-13188494000000</v>
      </c>
      <c r="M86" s="5">
        <v>-7835608000000</v>
      </c>
      <c r="N86" s="5">
        <v>-8951971000000</v>
      </c>
      <c r="O86" s="5">
        <v>-8950228000000</v>
      </c>
      <c r="P86" s="5">
        <v>-9335208000000</v>
      </c>
      <c r="Q86" s="5">
        <v>-7977823000000</v>
      </c>
      <c r="R86" s="5">
        <v>-7745779000000</v>
      </c>
      <c r="S86" s="5">
        <v>-7083230000000</v>
      </c>
      <c r="T86" s="5">
        <v>-6605228000000</v>
      </c>
      <c r="U86" s="5">
        <v>-6555736000000</v>
      </c>
      <c r="V86" s="5">
        <v>-5172192000000</v>
      </c>
      <c r="W86" s="5">
        <v>-3667884000000</v>
      </c>
      <c r="X86" s="5">
        <v>-3435845000000</v>
      </c>
      <c r="Y86" s="5">
        <v>-2582936000000</v>
      </c>
      <c r="Z86" s="5">
        <v>-2863644000000</v>
      </c>
    </row>
    <row r="87" spans="3:26" ht="15.5" x14ac:dyDescent="0.35">
      <c r="C87" t="s">
        <v>328</v>
      </c>
    </row>
    <row r="88" spans="3:26" ht="15.5" x14ac:dyDescent="0.35">
      <c r="C88" t="s">
        <v>539</v>
      </c>
      <c r="M88" s="5">
        <v>-2400691000000</v>
      </c>
      <c r="N88" s="5">
        <v>-2381042000000</v>
      </c>
    </row>
    <row r="89" spans="3:26" ht="15.5" x14ac:dyDescent="0.35">
      <c r="C89" t="s">
        <v>79</v>
      </c>
      <c r="D89" s="5">
        <v>15633849000000</v>
      </c>
      <c r="E89" s="5">
        <v>15900129000000</v>
      </c>
      <c r="F89" s="5">
        <v>14699089000000</v>
      </c>
      <c r="G89" s="5">
        <v>12791038000000</v>
      </c>
      <c r="I89" s="5">
        <v>57132365000000</v>
      </c>
      <c r="J89" s="5">
        <v>60306346000000</v>
      </c>
      <c r="K89" s="5">
        <v>60425048000000</v>
      </c>
      <c r="L89" s="5">
        <v>51408207000000</v>
      </c>
      <c r="M89" s="5">
        <v>30755766000000</v>
      </c>
      <c r="N89" s="5">
        <v>18660393000000</v>
      </c>
      <c r="O89" s="5">
        <v>34413825000000</v>
      </c>
      <c r="P89" s="5">
        <v>32418486000000</v>
      </c>
      <c r="Q89" s="5">
        <v>29044334000000</v>
      </c>
      <c r="R89" s="5">
        <v>26227991000000</v>
      </c>
      <c r="S89" s="5">
        <v>25410788000000</v>
      </c>
      <c r="T89" s="5">
        <v>24253845000000</v>
      </c>
      <c r="U89" s="5">
        <v>21354330000000</v>
      </c>
      <c r="V89" s="5">
        <v>18687380000000</v>
      </c>
      <c r="W89" s="5">
        <v>15087996000000</v>
      </c>
      <c r="X89" s="5">
        <v>11472385000000</v>
      </c>
      <c r="Y89" s="5">
        <v>7308292000000</v>
      </c>
      <c r="Z89" s="5">
        <v>5958368000000</v>
      </c>
    </row>
    <row r="90" spans="3:26" ht="15.5" x14ac:dyDescent="0.35">
      <c r="C90" t="s">
        <v>80</v>
      </c>
      <c r="D90" s="5">
        <v>-1892484000000</v>
      </c>
      <c r="E90" s="5">
        <v>-1755980000000</v>
      </c>
      <c r="F90" s="5">
        <v>1088260000000</v>
      </c>
      <c r="G90" s="5">
        <v>3263532000000</v>
      </c>
      <c r="I90" s="5">
        <v>2909006000000</v>
      </c>
      <c r="J90" s="5">
        <v>1564472000000</v>
      </c>
      <c r="K90" s="5">
        <v>628611000000</v>
      </c>
      <c r="L90" s="5">
        <v>-2839024000000</v>
      </c>
      <c r="M90" s="5">
        <v>-5599323000000</v>
      </c>
      <c r="N90" s="5">
        <v>716344000000</v>
      </c>
      <c r="O90" s="5">
        <v>5084772000000</v>
      </c>
      <c r="P90" s="5">
        <v>-3477661000000</v>
      </c>
      <c r="Q90" s="5">
        <v>1832681000000</v>
      </c>
      <c r="R90" s="5">
        <v>15152016000000</v>
      </c>
      <c r="S90" s="5">
        <v>-538658000000</v>
      </c>
      <c r="T90" s="5">
        <v>506154000000</v>
      </c>
      <c r="U90" s="5">
        <v>-1437676000000</v>
      </c>
      <c r="V90" s="5">
        <v>-6030000000</v>
      </c>
      <c r="W90" s="5">
        <v>208505000000</v>
      </c>
    </row>
    <row r="91" spans="3:26" ht="15.5" x14ac:dyDescent="0.35">
      <c r="C91" t="s">
        <v>329</v>
      </c>
      <c r="D91" s="5">
        <v>-1892484000000</v>
      </c>
      <c r="E91" s="5">
        <v>-1755980000000</v>
      </c>
      <c r="F91" s="5">
        <v>1088260000000</v>
      </c>
      <c r="G91" s="5">
        <v>3263532000000</v>
      </c>
      <c r="I91" s="5">
        <v>2909006000000</v>
      </c>
      <c r="J91" s="5">
        <v>1564472000000</v>
      </c>
      <c r="K91" s="5">
        <v>628611000000</v>
      </c>
      <c r="L91" s="5">
        <v>-2839024000000</v>
      </c>
      <c r="M91" s="5">
        <v>-5599323000000</v>
      </c>
      <c r="N91" s="5">
        <v>716344000000</v>
      </c>
      <c r="O91" s="5">
        <v>5084772000000</v>
      </c>
      <c r="P91" s="5">
        <v>-3477661000000</v>
      </c>
      <c r="Q91" s="5">
        <v>1832681000000</v>
      </c>
      <c r="R91" s="5">
        <v>15152016000000</v>
      </c>
      <c r="S91" s="5">
        <v>-538658000000</v>
      </c>
      <c r="T91" s="5">
        <v>506154000000</v>
      </c>
      <c r="U91" s="5">
        <v>-1437676000000</v>
      </c>
      <c r="V91" s="5">
        <v>-6030000000</v>
      </c>
      <c r="W91" s="5">
        <v>208505000000</v>
      </c>
    </row>
    <row r="92" spans="3:26" ht="15.5" x14ac:dyDescent="0.35">
      <c r="C92" t="s">
        <v>81</v>
      </c>
      <c r="D92" s="5">
        <v>13741365000000</v>
      </c>
      <c r="E92" s="5">
        <v>14144149000000</v>
      </c>
      <c r="F92" s="5">
        <v>15787349000000</v>
      </c>
      <c r="G92" s="5">
        <v>16054570000000</v>
      </c>
      <c r="I92" s="5">
        <v>60041371000000</v>
      </c>
      <c r="J92" s="5">
        <v>61870818000000</v>
      </c>
      <c r="K92" s="5">
        <v>61053659000000</v>
      </c>
      <c r="L92" s="5">
        <v>48569183000000</v>
      </c>
      <c r="M92" s="5">
        <v>27557134000000</v>
      </c>
      <c r="N92" s="5">
        <v>21757779000000</v>
      </c>
      <c r="O92" s="5">
        <v>39498597000000</v>
      </c>
      <c r="P92" s="5">
        <v>28940825000000</v>
      </c>
      <c r="Q92" s="5">
        <v>30877015000000</v>
      </c>
      <c r="R92" s="5">
        <v>41380007000000</v>
      </c>
      <c r="S92" s="5">
        <v>24872130000000</v>
      </c>
      <c r="T92" s="5">
        <v>24759999000000</v>
      </c>
      <c r="U92" s="5">
        <v>19916654000000</v>
      </c>
      <c r="V92" s="5">
        <v>18681350000000</v>
      </c>
      <c r="W92" s="5">
        <v>15296501000000</v>
      </c>
      <c r="X92" s="5">
        <v>11472385000000</v>
      </c>
      <c r="Y92" s="5">
        <v>7308292000000</v>
      </c>
      <c r="Z92" s="5">
        <v>5958368000000</v>
      </c>
    </row>
    <row r="93" spans="3:26" ht="15.5" x14ac:dyDescent="0.35">
      <c r="C93" t="s">
        <v>82</v>
      </c>
      <c r="D93" s="5">
        <v>15633849000000</v>
      </c>
      <c r="E93" s="5">
        <v>15900129000000</v>
      </c>
      <c r="F93" s="5">
        <v>14699089000000</v>
      </c>
      <c r="G93" s="5">
        <v>12791038000000</v>
      </c>
      <c r="I93" s="5">
        <v>57132365000000</v>
      </c>
      <c r="J93" s="5">
        <v>60306346000000</v>
      </c>
      <c r="K93" s="5">
        <v>60425048000000</v>
      </c>
      <c r="L93" s="5">
        <v>51408207000000</v>
      </c>
      <c r="M93" s="5">
        <v>30755766000000</v>
      </c>
      <c r="N93" s="5">
        <v>18660393000000</v>
      </c>
      <c r="O93" s="5">
        <v>34413825000000</v>
      </c>
      <c r="P93" s="5">
        <v>32418486000000</v>
      </c>
      <c r="Q93" s="5">
        <v>29044334000000</v>
      </c>
      <c r="R93" s="5">
        <v>26227991000000</v>
      </c>
      <c r="S93" s="5">
        <v>25410788000000</v>
      </c>
      <c r="T93" s="5">
        <v>24253845000000</v>
      </c>
      <c r="U93" s="5">
        <v>21354330000000</v>
      </c>
      <c r="V93" s="5">
        <v>18687380000000</v>
      </c>
      <c r="W93" s="5">
        <v>15087996000000</v>
      </c>
      <c r="X93" s="5">
        <v>11472385000000</v>
      </c>
      <c r="Y93" s="5">
        <v>7308292000000</v>
      </c>
      <c r="Z93" s="5">
        <v>5958368000000</v>
      </c>
    </row>
    <row r="94" spans="3:26" ht="15.5" x14ac:dyDescent="0.35">
      <c r="C94" t="s">
        <v>6</v>
      </c>
      <c r="D94" s="5">
        <v>13790415000000</v>
      </c>
      <c r="E94" s="5">
        <v>14076300000000</v>
      </c>
      <c r="F94" s="5">
        <v>15570860000000</v>
      </c>
      <c r="G94" s="5">
        <v>15715890000000</v>
      </c>
      <c r="I94" s="5">
        <v>59265589000000</v>
      </c>
      <c r="J94" s="5">
        <v>61620303000000</v>
      </c>
      <c r="K94" s="5">
        <v>60708390000000</v>
      </c>
      <c r="L94" s="5">
        <v>48333349000000</v>
      </c>
      <c r="M94" s="5">
        <v>27855902000000</v>
      </c>
      <c r="N94" s="5">
        <v>21727515000000</v>
      </c>
      <c r="O94" s="5">
        <v>39403628000000</v>
      </c>
      <c r="P94" s="5">
        <v>28910721000000</v>
      </c>
      <c r="Q94" s="5">
        <v>30805784000000</v>
      </c>
      <c r="R94" s="5">
        <v>41340376000000</v>
      </c>
      <c r="S94" s="5">
        <v>24861081000000</v>
      </c>
      <c r="T94" s="5">
        <v>24744791000000</v>
      </c>
      <c r="U94" s="5">
        <v>19913198000000</v>
      </c>
      <c r="V94" s="5">
        <v>18652098000000</v>
      </c>
      <c r="W94" s="5">
        <v>15288295000000</v>
      </c>
    </row>
    <row r="95" spans="3:26" ht="15.5" x14ac:dyDescent="0.35">
      <c r="C95" t="s">
        <v>459</v>
      </c>
      <c r="D95" s="5">
        <v>-49050000000</v>
      </c>
      <c r="E95" s="5">
        <v>67849000000</v>
      </c>
      <c r="F95" s="5">
        <v>216489000000</v>
      </c>
      <c r="G95" s="5">
        <v>338680000000</v>
      </c>
      <c r="I95" s="5">
        <v>775782000000</v>
      </c>
      <c r="J95" s="5">
        <v>250515000000</v>
      </c>
      <c r="K95" s="5">
        <v>345269000000</v>
      </c>
      <c r="L95" s="5">
        <v>235834000000</v>
      </c>
      <c r="M95" s="5">
        <v>-298768000000</v>
      </c>
      <c r="N95" s="5">
        <v>30264000000</v>
      </c>
      <c r="O95" s="5">
        <v>94969000000</v>
      </c>
      <c r="P95" s="5">
        <v>30104000000</v>
      </c>
      <c r="Q95" s="5">
        <v>71231000000</v>
      </c>
      <c r="R95" s="5">
        <v>39631000000</v>
      </c>
      <c r="S95" s="5">
        <v>11049000000</v>
      </c>
      <c r="T95" s="5">
        <v>15208000000</v>
      </c>
      <c r="U95" s="5">
        <v>3456000000</v>
      </c>
      <c r="V95" s="5">
        <v>29252000000</v>
      </c>
      <c r="W95" s="5">
        <v>8206000000</v>
      </c>
    </row>
    <row r="96" spans="3:26" ht="15.5" x14ac:dyDescent="0.35">
      <c r="C96" t="s">
        <v>83</v>
      </c>
      <c r="D96" s="5">
        <v>15633849000000</v>
      </c>
      <c r="E96" s="5">
        <v>15900129000000</v>
      </c>
      <c r="F96" s="5">
        <v>14699089000000</v>
      </c>
      <c r="G96" s="5">
        <v>12791038000000</v>
      </c>
      <c r="I96" s="5">
        <v>57132365000000</v>
      </c>
      <c r="J96" s="5">
        <v>60306346000000</v>
      </c>
      <c r="K96" s="5">
        <v>60425048000000</v>
      </c>
      <c r="L96" s="5">
        <v>51408207000000</v>
      </c>
      <c r="M96" s="5">
        <v>30755766000000</v>
      </c>
      <c r="N96" s="5">
        <v>18660393000000</v>
      </c>
      <c r="O96" s="5">
        <v>34413825000000</v>
      </c>
      <c r="P96" s="5">
        <v>32418486000000</v>
      </c>
      <c r="Q96" s="5">
        <v>29044334000000</v>
      </c>
      <c r="R96" s="5">
        <v>26227991000000</v>
      </c>
      <c r="S96" s="5">
        <v>25410788000000</v>
      </c>
      <c r="T96" s="5">
        <v>24253845000000</v>
      </c>
      <c r="U96" s="5">
        <v>21354330000000</v>
      </c>
      <c r="V96" s="5">
        <v>18687380000000</v>
      </c>
      <c r="W96" s="5">
        <v>15087996000000</v>
      </c>
      <c r="X96" s="5">
        <v>11472385000000</v>
      </c>
      <c r="Y96" s="5">
        <v>7308292000000</v>
      </c>
      <c r="Z96" s="5">
        <v>5958368000000</v>
      </c>
    </row>
    <row r="97" spans="2:26" ht="15.5" x14ac:dyDescent="0.35">
      <c r="C97" t="s">
        <v>84</v>
      </c>
      <c r="D97" s="5">
        <v>13741365000000</v>
      </c>
      <c r="E97" s="5">
        <v>14144149000000</v>
      </c>
      <c r="F97" s="5">
        <v>15787349000000</v>
      </c>
      <c r="G97" s="5">
        <v>16054570000000</v>
      </c>
      <c r="I97" s="5">
        <v>60041371000000</v>
      </c>
      <c r="J97" s="5">
        <v>61870818000000</v>
      </c>
      <c r="K97" s="5">
        <v>61053659000000</v>
      </c>
      <c r="L97" s="5">
        <v>48569183000000</v>
      </c>
      <c r="M97" s="5">
        <v>27557134000000</v>
      </c>
      <c r="N97" s="5">
        <v>21757779000000</v>
      </c>
      <c r="O97" s="5">
        <v>39498597000000</v>
      </c>
      <c r="P97" s="5">
        <v>28940825000000</v>
      </c>
      <c r="Q97" s="5">
        <v>30877015000000</v>
      </c>
      <c r="R97" s="5">
        <v>41380007000000</v>
      </c>
      <c r="S97" s="5">
        <v>24872130000000</v>
      </c>
      <c r="T97" s="5">
        <v>24759999000000</v>
      </c>
      <c r="U97" s="5">
        <v>19916654000000</v>
      </c>
      <c r="V97" s="5">
        <v>18681350000000</v>
      </c>
      <c r="W97" s="5">
        <v>15296501000000</v>
      </c>
    </row>
    <row r="98" spans="2:26" ht="15.5" x14ac:dyDescent="0.35">
      <c r="C98" t="s">
        <v>85</v>
      </c>
      <c r="D98" s="5">
        <v>13741365000000</v>
      </c>
      <c r="E98" s="5">
        <v>14144149000000</v>
      </c>
      <c r="F98" s="5">
        <v>15787349000000</v>
      </c>
      <c r="G98" s="5">
        <v>16054570000000</v>
      </c>
      <c r="I98" s="5">
        <v>60041371000000</v>
      </c>
      <c r="J98" s="5">
        <v>61870818000000</v>
      </c>
      <c r="K98" s="5">
        <v>61053659000000</v>
      </c>
      <c r="L98" s="5">
        <v>48569183000000</v>
      </c>
      <c r="M98" s="5">
        <v>27557134000000</v>
      </c>
      <c r="N98" s="5">
        <v>21757779000000</v>
      </c>
      <c r="O98" s="5">
        <v>39498597000000</v>
      </c>
      <c r="P98" s="5">
        <v>28940825000000</v>
      </c>
      <c r="Q98" s="5">
        <v>30877015000000</v>
      </c>
      <c r="R98" s="5">
        <v>41380007000000</v>
      </c>
      <c r="S98" s="5">
        <v>24872130000000</v>
      </c>
      <c r="T98" s="5">
        <v>24759999000000</v>
      </c>
      <c r="U98" s="5">
        <v>19916654000000</v>
      </c>
      <c r="V98" s="5">
        <v>18681350000000</v>
      </c>
      <c r="W98" s="5">
        <v>15296501000000</v>
      </c>
    </row>
    <row r="100" spans="2:26" ht="15.5" x14ac:dyDescent="0.35">
      <c r="B100" t="s">
        <v>86</v>
      </c>
      <c r="C100" t="s">
        <v>87</v>
      </c>
    </row>
    <row r="101" spans="2:26" ht="15.5" x14ac:dyDescent="0.35">
      <c r="C101" t="s">
        <v>18</v>
      </c>
      <c r="D101" s="5">
        <v>33059126000000</v>
      </c>
      <c r="E101" s="5">
        <v>32044482000000</v>
      </c>
      <c r="F101" s="5">
        <v>24194981000000</v>
      </c>
      <c r="G101" s="5">
        <v>26438079000000</v>
      </c>
      <c r="I101" s="5">
        <v>32044482000000</v>
      </c>
      <c r="J101" s="5">
        <v>29783642000000</v>
      </c>
      <c r="K101" s="5">
        <v>31603784000000</v>
      </c>
      <c r="L101" s="5">
        <v>27407478000000</v>
      </c>
      <c r="M101" s="5">
        <v>26299973000000</v>
      </c>
      <c r="N101" s="5">
        <v>32161564000000</v>
      </c>
      <c r="O101" s="5">
        <v>30219214000000</v>
      </c>
      <c r="P101" s="5">
        <v>27421625000000</v>
      </c>
      <c r="Q101" s="5">
        <v>24797782000000</v>
      </c>
      <c r="R101" s="5">
        <v>25212024000000</v>
      </c>
      <c r="S101" s="5">
        <v>28771635000000</v>
      </c>
      <c r="T101" s="5">
        <v>22469167000000</v>
      </c>
      <c r="U101" s="5">
        <v>19171778000000</v>
      </c>
      <c r="V101" s="5">
        <v>13895464000000</v>
      </c>
      <c r="W101" s="5">
        <v>10525973000000</v>
      </c>
      <c r="X101" s="5">
        <v>9975712000000</v>
      </c>
      <c r="Y101" s="5">
        <v>8139304000000</v>
      </c>
      <c r="Z101" s="5">
        <v>6750145000000</v>
      </c>
    </row>
    <row r="102" spans="2:26" ht="15.5" x14ac:dyDescent="0.35">
      <c r="C102" t="s">
        <v>460</v>
      </c>
      <c r="D102" s="5">
        <v>67814966000000</v>
      </c>
      <c r="E102" s="5">
        <v>31929608000000</v>
      </c>
      <c r="F102" s="5">
        <v>76295440000000</v>
      </c>
      <c r="G102" s="5">
        <v>64358693000000</v>
      </c>
      <c r="I102" s="5">
        <v>31929608000000</v>
      </c>
      <c r="J102" s="5">
        <v>88878969000000</v>
      </c>
      <c r="K102" s="5">
        <v>101909121000000</v>
      </c>
      <c r="L102" s="5">
        <v>150935150000000</v>
      </c>
      <c r="M102" s="5">
        <v>56426573000000</v>
      </c>
      <c r="N102" s="5">
        <v>51530969000000</v>
      </c>
      <c r="O102" s="5">
        <v>71416449000000</v>
      </c>
      <c r="P102" s="5">
        <v>71159442000000</v>
      </c>
      <c r="Q102" s="5">
        <v>58155479000000</v>
      </c>
      <c r="R102" s="5">
        <v>55635946000000</v>
      </c>
      <c r="S102" s="5">
        <v>61717798000000</v>
      </c>
      <c r="T102" s="5">
        <v>51184429000000</v>
      </c>
      <c r="U102" s="5">
        <v>40718495000000</v>
      </c>
      <c r="V102" s="5">
        <v>42524126000000</v>
      </c>
      <c r="W102" s="5">
        <v>33040418000000</v>
      </c>
      <c r="X102" s="5">
        <v>19989683000000</v>
      </c>
      <c r="Y102" s="5">
        <v>12893414000000</v>
      </c>
      <c r="Z102" s="5">
        <v>9945696000000</v>
      </c>
    </row>
    <row r="103" spans="2:26" ht="15.5" x14ac:dyDescent="0.35">
      <c r="C103" t="s">
        <v>461</v>
      </c>
    </row>
    <row r="104" spans="2:26" ht="15.5" x14ac:dyDescent="0.35">
      <c r="C104" t="s">
        <v>485</v>
      </c>
      <c r="D104" s="5">
        <v>20199337000000</v>
      </c>
      <c r="E104" s="5">
        <v>21057210000000</v>
      </c>
      <c r="F104" s="5">
        <v>36999242000000</v>
      </c>
      <c r="G104" s="5">
        <v>84741293000000</v>
      </c>
      <c r="I104" s="5">
        <v>21057210000000</v>
      </c>
      <c r="J104" s="5">
        <v>57874335000000</v>
      </c>
      <c r="K104" s="5">
        <v>65225260000000</v>
      </c>
      <c r="L104" s="5">
        <v>70401901000000</v>
      </c>
      <c r="M104" s="5">
        <v>58982842000000</v>
      </c>
      <c r="N104" s="5">
        <v>66539685000000</v>
      </c>
      <c r="O104" s="5">
        <v>116854727000000</v>
      </c>
      <c r="P104" s="5">
        <v>87018051000000</v>
      </c>
      <c r="Q104" s="5">
        <v>55105687000000</v>
      </c>
      <c r="R104" s="5">
        <v>78142754000000</v>
      </c>
      <c r="S104" s="5">
        <v>49834664000000</v>
      </c>
      <c r="T104" s="5">
        <v>62035442000000</v>
      </c>
      <c r="U104" s="5">
        <v>36306883000000</v>
      </c>
      <c r="V104" s="5">
        <v>66242928000000</v>
      </c>
      <c r="W104" s="5">
        <v>73596656000000</v>
      </c>
      <c r="X104" s="5">
        <v>83272390000000</v>
      </c>
      <c r="Y104" s="5">
        <v>40631290000000</v>
      </c>
      <c r="Z104" s="5">
        <v>22908327000000</v>
      </c>
    </row>
    <row r="105" spans="2:26" ht="15.5" x14ac:dyDescent="0.35">
      <c r="C105" t="s">
        <v>92</v>
      </c>
      <c r="X105" s="5">
        <v>9454545000000</v>
      </c>
    </row>
    <row r="106" spans="2:26" ht="15.5" x14ac:dyDescent="0.35">
      <c r="C106" t="s">
        <v>91</v>
      </c>
    </row>
    <row r="107" spans="2:26" ht="15.5" x14ac:dyDescent="0.35">
      <c r="C107" t="s">
        <v>540</v>
      </c>
      <c r="D107" s="5">
        <v>20199337000000</v>
      </c>
      <c r="E107" s="5">
        <v>21057210000000</v>
      </c>
      <c r="F107" s="5">
        <v>36999242000000</v>
      </c>
      <c r="G107" s="5">
        <v>84741293000000</v>
      </c>
      <c r="I107" s="5">
        <v>21057210000000</v>
      </c>
      <c r="J107" s="5">
        <v>57874335000000</v>
      </c>
      <c r="K107" s="5">
        <v>65225260000000</v>
      </c>
      <c r="L107" s="5">
        <v>70401901000000</v>
      </c>
      <c r="M107" s="5">
        <v>58982842000000</v>
      </c>
      <c r="N107" s="5">
        <v>66539685000000</v>
      </c>
      <c r="O107" s="5">
        <v>116854727000000</v>
      </c>
      <c r="P107" s="5">
        <v>87018051000000</v>
      </c>
      <c r="Q107" s="5">
        <v>55105687000000</v>
      </c>
      <c r="R107" s="5">
        <v>78142754000000</v>
      </c>
      <c r="S107" s="5">
        <v>49834664000000</v>
      </c>
      <c r="T107" s="5">
        <v>62035442000000</v>
      </c>
      <c r="U107" s="5">
        <v>36306883000000</v>
      </c>
      <c r="V107" s="5">
        <v>66242928000000</v>
      </c>
      <c r="W107" s="5">
        <v>73596656000000</v>
      </c>
      <c r="X107" s="5">
        <v>83272390000000</v>
      </c>
      <c r="Y107" s="5">
        <v>40631290000000</v>
      </c>
      <c r="Z107" s="5">
        <v>22908327000000</v>
      </c>
    </row>
    <row r="108" spans="2:26" ht="15.5" x14ac:dyDescent="0.35">
      <c r="C108" t="s">
        <v>73</v>
      </c>
      <c r="D108" s="5">
        <v>16523295000000</v>
      </c>
      <c r="E108" s="5">
        <v>17846335000000</v>
      </c>
      <c r="F108" s="5">
        <v>19824932000000</v>
      </c>
      <c r="G108" s="5">
        <v>18645294000000</v>
      </c>
      <c r="I108" s="5">
        <v>17846335000000</v>
      </c>
      <c r="J108" s="5">
        <v>15537789000000</v>
      </c>
      <c r="K108" s="5">
        <v>14221057000000</v>
      </c>
      <c r="L108" s="5">
        <v>14909044000000</v>
      </c>
      <c r="M108" s="5">
        <v>19905087000000</v>
      </c>
      <c r="N108" s="5">
        <v>20826296000000</v>
      </c>
      <c r="O108" s="5">
        <v>15927717000000</v>
      </c>
      <c r="P108" s="5">
        <v>10977200000000</v>
      </c>
      <c r="Q108" s="5">
        <v>13979971000000</v>
      </c>
      <c r="R108" s="5">
        <v>12170722000000</v>
      </c>
      <c r="S108" s="5">
        <v>-2841309000000</v>
      </c>
      <c r="T108" s="5">
        <v>-142420000000</v>
      </c>
      <c r="U108" s="5">
        <v>-645561000000</v>
      </c>
      <c r="V108" s="5">
        <v>785371000000</v>
      </c>
      <c r="W108" s="5">
        <v>814157000000</v>
      </c>
      <c r="X108" s="5">
        <v>608801000000</v>
      </c>
      <c r="Y108" s="5">
        <v>535412000000</v>
      </c>
      <c r="Z108" s="5">
        <v>163184000000</v>
      </c>
    </row>
    <row r="109" spans="2:26" ht="15.5" x14ac:dyDescent="0.35">
      <c r="C109" t="s">
        <v>462</v>
      </c>
      <c r="D109" s="5">
        <v>20197903000000</v>
      </c>
      <c r="E109" s="5">
        <v>21054805000000</v>
      </c>
      <c r="F109" s="5">
        <v>36997843000000</v>
      </c>
      <c r="G109" s="5">
        <v>84739705000000</v>
      </c>
      <c r="I109" s="5">
        <v>21054805000000</v>
      </c>
      <c r="J109" s="5">
        <v>57873568000000</v>
      </c>
      <c r="K109" s="5">
        <v>65223400000000</v>
      </c>
      <c r="L109" s="5">
        <v>70399920000000</v>
      </c>
      <c r="M109" s="5">
        <v>58976665000000</v>
      </c>
      <c r="N109" s="5">
        <v>66521615000000</v>
      </c>
      <c r="O109" s="5">
        <v>116854727000000</v>
      </c>
      <c r="P109" s="5">
        <v>87018051000000</v>
      </c>
      <c r="Q109" s="5">
        <v>55105687000000</v>
      </c>
      <c r="R109" s="5">
        <v>78142754000000</v>
      </c>
      <c r="S109" s="5">
        <v>49834664000000</v>
      </c>
      <c r="T109" s="5">
        <v>62035442000000</v>
      </c>
      <c r="U109" s="5">
        <v>36306883000000</v>
      </c>
      <c r="V109" s="5">
        <v>66242928000000</v>
      </c>
      <c r="W109" s="5">
        <v>73596356000000</v>
      </c>
      <c r="X109" s="5">
        <v>83272140000000</v>
      </c>
      <c r="Y109" s="5">
        <v>40495057000000</v>
      </c>
      <c r="Z109" s="5">
        <v>22235561000000</v>
      </c>
    </row>
    <row r="110" spans="2:26" ht="15.5" x14ac:dyDescent="0.35">
      <c r="C110" t="s">
        <v>541</v>
      </c>
      <c r="X110" s="5">
        <v>246504161000000</v>
      </c>
      <c r="Y110" s="5">
        <v>205037003000000</v>
      </c>
      <c r="Z110" s="5">
        <v>159657070000000</v>
      </c>
    </row>
    <row r="111" spans="2:26" ht="15.5" x14ac:dyDescent="0.35">
      <c r="C111" t="s">
        <v>542</v>
      </c>
      <c r="X111" s="5">
        <v>460077000000</v>
      </c>
      <c r="Y111" s="5">
        <v>485391000000</v>
      </c>
      <c r="Z111" s="5">
        <v>451613000000</v>
      </c>
    </row>
    <row r="112" spans="2:26" ht="15.5" x14ac:dyDescent="0.35">
      <c r="C112" t="s">
        <v>463</v>
      </c>
      <c r="O112" s="5">
        <v>1130306000000</v>
      </c>
      <c r="P112" s="5">
        <v>1505273000000</v>
      </c>
      <c r="Q112" s="5">
        <v>3317840000000</v>
      </c>
      <c r="R112" s="5">
        <v>3318434000000</v>
      </c>
      <c r="S112" s="5">
        <v>3815958000000</v>
      </c>
      <c r="T112" s="5">
        <v>4303596000000</v>
      </c>
      <c r="U112" s="5">
        <v>4511419000000</v>
      </c>
      <c r="V112" s="5">
        <v>4315616000000</v>
      </c>
      <c r="W112" s="5">
        <v>8996026000000</v>
      </c>
      <c r="X112" s="5">
        <v>13626463000000</v>
      </c>
      <c r="Y112" s="5">
        <v>15027074000000</v>
      </c>
      <c r="Z112" s="5">
        <v>16352318000000</v>
      </c>
    </row>
    <row r="113" spans="3:26" ht="15.5" x14ac:dyDescent="0.35">
      <c r="C113" t="s">
        <v>543</v>
      </c>
      <c r="O113" s="5">
        <v>1130306000000</v>
      </c>
      <c r="P113" s="5">
        <v>1505273000000</v>
      </c>
      <c r="Q113" s="5">
        <v>3317840000000</v>
      </c>
      <c r="R113" s="5">
        <v>3318434000000</v>
      </c>
      <c r="S113" s="5">
        <v>3815958000000</v>
      </c>
      <c r="T113" s="5">
        <v>4303596000000</v>
      </c>
      <c r="U113" s="5">
        <v>4511419000000</v>
      </c>
      <c r="V113" s="5">
        <v>4315616000000</v>
      </c>
      <c r="W113" s="5">
        <v>8996026000000</v>
      </c>
      <c r="X113" s="5">
        <v>13626463000000</v>
      </c>
      <c r="Y113" s="5">
        <v>15027074000000</v>
      </c>
      <c r="Z113" s="5">
        <v>16352318000000</v>
      </c>
    </row>
    <row r="114" spans="3:26" ht="15.5" x14ac:dyDescent="0.35">
      <c r="C114" t="s">
        <v>464</v>
      </c>
      <c r="D114" s="5">
        <v>1497270336000000</v>
      </c>
      <c r="E114" s="5">
        <v>1460729418000000</v>
      </c>
      <c r="F114" s="5">
        <v>1379689071000000</v>
      </c>
      <c r="G114" s="5">
        <v>1358009739000000</v>
      </c>
      <c r="I114" s="5">
        <v>1460729418000000</v>
      </c>
      <c r="J114" s="5">
        <v>1298318089000000</v>
      </c>
      <c r="K114" s="5">
        <v>1212578086000000</v>
      </c>
      <c r="L114" s="5">
        <v>1079274819000000</v>
      </c>
      <c r="M114" s="5">
        <v>994416523000000</v>
      </c>
      <c r="N114" s="5">
        <v>899458207000000</v>
      </c>
      <c r="O114" s="5">
        <v>877431193000000</v>
      </c>
      <c r="P114" s="5">
        <v>820010157000000</v>
      </c>
      <c r="Q114" s="5">
        <v>718982668000000</v>
      </c>
      <c r="R114" s="5">
        <v>643470975000000</v>
      </c>
      <c r="S114" s="5">
        <v>564480538000000</v>
      </c>
      <c r="T114" s="5">
        <v>495097288000000</v>
      </c>
      <c r="U114" s="5">
        <v>434316466000000</v>
      </c>
      <c r="V114" s="5">
        <v>350758262000000</v>
      </c>
      <c r="W114" s="5">
        <v>285406257000000</v>
      </c>
      <c r="X114" s="5">
        <v>246964238000000</v>
      </c>
      <c r="Y114" s="5">
        <v>205522394000000</v>
      </c>
      <c r="Z114" s="5">
        <v>160108683000000</v>
      </c>
    </row>
    <row r="115" spans="3:26" ht="15.5" x14ac:dyDescent="0.35">
      <c r="C115" t="s">
        <v>544</v>
      </c>
      <c r="D115" s="5">
        <v>159409723000000</v>
      </c>
      <c r="E115" s="5">
        <v>129186116000000</v>
      </c>
      <c r="F115" s="5">
        <v>111135742000000</v>
      </c>
      <c r="G115" s="5">
        <v>133346187000000</v>
      </c>
      <c r="I115" s="5">
        <v>129186116000000</v>
      </c>
      <c r="J115" s="5">
        <v>127879804000000</v>
      </c>
      <c r="K115" s="5">
        <v>98850813000000</v>
      </c>
      <c r="L115" s="5">
        <v>79371200000000</v>
      </c>
      <c r="M115" s="5">
        <v>68458547000000</v>
      </c>
      <c r="N115" s="5">
        <v>35968985000000</v>
      </c>
      <c r="O115" s="5">
        <v>30921771000000</v>
      </c>
      <c r="P115" s="5">
        <v>40457429000000</v>
      </c>
      <c r="Q115" s="5">
        <v>29403009000000</v>
      </c>
      <c r="R115" s="5">
        <v>35008170000000</v>
      </c>
      <c r="S115" s="5">
        <v>35480358000000</v>
      </c>
      <c r="T115" s="5">
        <v>24986862000000</v>
      </c>
      <c r="U115" s="5">
        <v>9084913000000</v>
      </c>
      <c r="V115" s="5">
        <v>10888755000000</v>
      </c>
      <c r="W115" s="5">
        <v>13097916000000</v>
      </c>
      <c r="X115" s="5">
        <v>9454545000000</v>
      </c>
      <c r="Y115" s="5">
        <v>13611399000000</v>
      </c>
      <c r="Z115" s="5">
        <v>3356495000000</v>
      </c>
    </row>
    <row r="116" spans="3:26" ht="15.5" x14ac:dyDescent="0.35">
      <c r="C116" t="s">
        <v>465</v>
      </c>
      <c r="D116" s="5">
        <v>1416765322000000</v>
      </c>
      <c r="E116" s="5">
        <v>1381400799000000</v>
      </c>
      <c r="F116" s="5">
        <v>1302033640000000</v>
      </c>
      <c r="G116" s="5">
        <v>1279988223000000</v>
      </c>
      <c r="I116" s="5">
        <v>1381400799000000</v>
      </c>
      <c r="J116" s="5">
        <v>1221415200000000</v>
      </c>
      <c r="K116" s="5">
        <v>1130653684000000</v>
      </c>
      <c r="L116" s="5">
        <v>990950989000000</v>
      </c>
      <c r="M116" s="5">
        <v>909582789000000</v>
      </c>
      <c r="N116" s="5">
        <v>834293205000000</v>
      </c>
      <c r="O116" s="5">
        <v>839067353000000</v>
      </c>
      <c r="P116" s="5">
        <v>784992175000000</v>
      </c>
      <c r="Q116" s="5">
        <v>689559288000000</v>
      </c>
      <c r="R116" s="5">
        <v>621286679000000</v>
      </c>
      <c r="S116" s="5">
        <v>547318355000000</v>
      </c>
      <c r="T116" s="5">
        <v>479211143000000</v>
      </c>
      <c r="U116" s="5">
        <v>419144730000000</v>
      </c>
      <c r="V116" s="5">
        <v>336081042000000</v>
      </c>
      <c r="W116" s="5">
        <v>269454726000000</v>
      </c>
      <c r="X116" s="5">
        <v>232972784000000</v>
      </c>
      <c r="Y116" s="5">
        <v>194242503000000</v>
      </c>
      <c r="Z116" s="5">
        <v>152217543000000</v>
      </c>
    </row>
    <row r="117" spans="3:26" ht="15.5" x14ac:dyDescent="0.35">
      <c r="C117" t="s">
        <v>545</v>
      </c>
      <c r="D117" s="5">
        <v>4163170000000</v>
      </c>
      <c r="E117" s="5">
        <v>4406157000000</v>
      </c>
      <c r="F117" s="5">
        <v>4866418000000</v>
      </c>
      <c r="G117" s="5">
        <v>5487433000000</v>
      </c>
      <c r="I117" s="5">
        <v>4406157000000</v>
      </c>
      <c r="J117" s="5">
        <v>6433608000000</v>
      </c>
      <c r="K117" s="5">
        <v>7913465000000</v>
      </c>
      <c r="L117" s="5">
        <v>49287917000000</v>
      </c>
      <c r="M117" s="5">
        <v>39291429000000</v>
      </c>
      <c r="N117" s="5">
        <v>3619224000000</v>
      </c>
      <c r="O117" s="5">
        <v>4191596000000</v>
      </c>
      <c r="P117" s="5">
        <v>3409846000000</v>
      </c>
      <c r="Q117" s="5">
        <v>2488983000000</v>
      </c>
      <c r="R117" s="5">
        <v>2200300000000</v>
      </c>
    </row>
    <row r="118" spans="3:26" ht="15.5" x14ac:dyDescent="0.35">
      <c r="C118" t="s">
        <v>546</v>
      </c>
      <c r="D118" s="5">
        <v>3987307000000</v>
      </c>
      <c r="E118" s="5">
        <v>4241235000000</v>
      </c>
      <c r="F118" s="5">
        <v>4664245000000</v>
      </c>
      <c r="G118" s="5">
        <v>5300420000000</v>
      </c>
      <c r="I118" s="5">
        <v>4241235000000</v>
      </c>
      <c r="J118" s="5">
        <v>6268018000000</v>
      </c>
      <c r="K118" s="5">
        <v>7698157000000</v>
      </c>
      <c r="L118" s="5">
        <v>45809969000000</v>
      </c>
      <c r="M118" s="5">
        <v>37706653000000</v>
      </c>
      <c r="N118" s="5">
        <v>3406164000000</v>
      </c>
      <c r="O118" s="5">
        <v>4104096000000</v>
      </c>
      <c r="P118" s="5">
        <v>3321846000000</v>
      </c>
      <c r="Q118" s="5">
        <v>2385483000000</v>
      </c>
      <c r="R118" s="5">
        <v>2070300000000</v>
      </c>
    </row>
    <row r="119" spans="3:26" ht="15.5" x14ac:dyDescent="0.35">
      <c r="C119" t="s">
        <v>100</v>
      </c>
    </row>
    <row r="120" spans="3:26" ht="15.5" x14ac:dyDescent="0.35">
      <c r="C120" t="s">
        <v>547</v>
      </c>
      <c r="D120" s="5">
        <v>62787438000000</v>
      </c>
      <c r="E120" s="5">
        <v>63294240000000</v>
      </c>
      <c r="F120" s="5">
        <v>62690839000000</v>
      </c>
      <c r="G120" s="5">
        <v>62482964000000</v>
      </c>
      <c r="I120" s="5">
        <v>63294240000000</v>
      </c>
      <c r="J120" s="5">
        <v>62477965000000</v>
      </c>
      <c r="K120" s="5">
        <v>59678119000000</v>
      </c>
      <c r="L120" s="5">
        <v>55216047000000</v>
      </c>
      <c r="M120" s="5">
        <v>47970187000000</v>
      </c>
      <c r="N120" s="5">
        <v>32185160000000</v>
      </c>
      <c r="O120" s="5">
        <v>31432629000000</v>
      </c>
      <c r="P120" s="5">
        <v>26914859000000</v>
      </c>
      <c r="Q120" s="5">
        <v>24746306000000</v>
      </c>
      <c r="R120" s="5">
        <v>24515059000000</v>
      </c>
      <c r="S120" s="5">
        <v>8039280000000</v>
      </c>
      <c r="T120" s="5">
        <v>5917470000000</v>
      </c>
      <c r="U120" s="5">
        <v>3972612000000</v>
      </c>
      <c r="V120" s="5">
        <v>2804366000000</v>
      </c>
      <c r="W120" s="5">
        <v>1852818000000</v>
      </c>
      <c r="X120" s="5">
        <v>1568945000000</v>
      </c>
      <c r="Y120" s="5">
        <v>1366212000000</v>
      </c>
      <c r="Z120" s="5">
        <v>1350483000000</v>
      </c>
    </row>
    <row r="121" spans="3:26" ht="15.5" x14ac:dyDescent="0.35">
      <c r="C121" t="s">
        <v>103</v>
      </c>
      <c r="D121" s="5">
        <v>8316413000000</v>
      </c>
      <c r="E121" s="5">
        <v>8129522000000</v>
      </c>
      <c r="F121" s="5">
        <v>11150487000000</v>
      </c>
      <c r="G121" s="5">
        <v>10921289000000</v>
      </c>
      <c r="I121" s="5">
        <v>8129522000000</v>
      </c>
      <c r="J121" s="5">
        <v>12800660000000</v>
      </c>
      <c r="K121" s="5">
        <v>15605462000000</v>
      </c>
      <c r="L121" s="5">
        <v>18712994000000</v>
      </c>
      <c r="M121" s="5">
        <v>16284898000000</v>
      </c>
      <c r="N121" s="5">
        <v>8313545000000</v>
      </c>
      <c r="O121" s="5">
        <v>4541298000000</v>
      </c>
      <c r="P121" s="5">
        <v>5114653000000</v>
      </c>
      <c r="Q121" s="5">
        <v>3270231000000</v>
      </c>
      <c r="R121" s="5">
        <v>2520930000000</v>
      </c>
      <c r="S121" s="5">
        <v>1983774000000</v>
      </c>
      <c r="T121" s="5">
        <v>1659705000000</v>
      </c>
      <c r="U121" s="5">
        <v>2188506000000</v>
      </c>
      <c r="V121" s="5">
        <v>2024911000000</v>
      </c>
      <c r="W121" s="5">
        <v>2631958000000</v>
      </c>
      <c r="X121" s="5">
        <v>2295101000000</v>
      </c>
      <c r="Y121" s="5">
        <v>1915026000000</v>
      </c>
      <c r="Z121" s="5">
        <v>2000076000000</v>
      </c>
    </row>
    <row r="122" spans="3:26" ht="15.5" x14ac:dyDescent="0.35">
      <c r="C122" t="s">
        <v>548</v>
      </c>
      <c r="D122" s="5">
        <v>17346000000</v>
      </c>
      <c r="E122" s="5">
        <v>19115000000</v>
      </c>
      <c r="I122" s="5">
        <v>19115000000</v>
      </c>
      <c r="J122" s="5">
        <v>197380000000</v>
      </c>
    </row>
    <row r="123" spans="3:26" ht="15.5" x14ac:dyDescent="0.35">
      <c r="C123" t="s">
        <v>105</v>
      </c>
      <c r="D123" s="5">
        <v>2249833632000000</v>
      </c>
      <c r="E123" s="5">
        <v>2135371105000000</v>
      </c>
      <c r="F123" s="5">
        <v>2123446818000000</v>
      </c>
      <c r="G123" s="5">
        <v>2106370947000000</v>
      </c>
      <c r="I123" s="5">
        <v>2138936220000000</v>
      </c>
      <c r="J123" s="5">
        <v>1996181938000000</v>
      </c>
      <c r="K123" s="5">
        <v>1968369208000000</v>
      </c>
      <c r="L123" s="5">
        <v>1865639010000000</v>
      </c>
      <c r="M123" s="5">
        <v>1678097734000000</v>
      </c>
      <c r="N123" s="5">
        <v>1511804628000000</v>
      </c>
      <c r="O123" s="5">
        <v>1416758840000000</v>
      </c>
      <c r="P123" s="5">
        <v>1296898292000000</v>
      </c>
      <c r="Q123" s="5">
        <v>1126248442000000</v>
      </c>
      <c r="R123" s="5">
        <v>1003644426000000</v>
      </c>
      <c r="S123" s="5">
        <v>878426312000000</v>
      </c>
      <c r="T123" s="5">
        <v>801955021000000</v>
      </c>
      <c r="U123" s="5">
        <v>626182926000000</v>
      </c>
      <c r="V123" s="5">
        <v>551336790000000</v>
      </c>
      <c r="W123" s="5">
        <v>469899284000000</v>
      </c>
      <c r="X123" s="5">
        <v>404285602000000</v>
      </c>
      <c r="Y123" s="5">
        <v>316947029000000</v>
      </c>
      <c r="Z123" s="5">
        <v>246076896000000</v>
      </c>
    </row>
    <row r="124" spans="3:26" ht="15.5" x14ac:dyDescent="0.35">
      <c r="C124" t="s">
        <v>106</v>
      </c>
    </row>
    <row r="125" spans="3:26" ht="15.5" x14ac:dyDescent="0.35">
      <c r="C125" t="s">
        <v>107</v>
      </c>
    </row>
    <row r="126" spans="3:26" ht="15.5" x14ac:dyDescent="0.35">
      <c r="C126" t="s">
        <v>467</v>
      </c>
      <c r="D126" s="5">
        <v>20482662000000</v>
      </c>
      <c r="E126" s="5">
        <v>39818745000000</v>
      </c>
      <c r="F126" s="5">
        <v>26336069000000</v>
      </c>
      <c r="G126" s="5">
        <v>28432361000000</v>
      </c>
      <c r="I126" s="5">
        <v>39818745000000</v>
      </c>
      <c r="J126" s="5">
        <v>36821661000000</v>
      </c>
      <c r="K126" s="5">
        <v>30651807000000</v>
      </c>
      <c r="L126" s="5">
        <v>24910579000000</v>
      </c>
      <c r="M126" s="5">
        <v>18735387000000</v>
      </c>
      <c r="N126" s="5">
        <v>11845910000000</v>
      </c>
      <c r="O126" s="5">
        <v>7549312000000</v>
      </c>
      <c r="P126" s="5">
        <v>8462958000000</v>
      </c>
      <c r="Q126" s="5">
        <v>6584201000000</v>
      </c>
      <c r="R126" s="5">
        <v>5410313000000</v>
      </c>
      <c r="S126" s="5">
        <v>5138562000000</v>
      </c>
      <c r="T126" s="5">
        <v>7043772000000</v>
      </c>
      <c r="U126" s="5">
        <v>5065527000000</v>
      </c>
      <c r="V126" s="5">
        <v>4911852000000</v>
      </c>
      <c r="W126" s="5">
        <v>3961640000000</v>
      </c>
      <c r="X126" s="5">
        <v>4123639000000</v>
      </c>
      <c r="Y126" s="5">
        <v>4333232000000</v>
      </c>
      <c r="Z126" s="5">
        <v>5620911000000</v>
      </c>
    </row>
    <row r="127" spans="3:26" ht="15.5" x14ac:dyDescent="0.35">
      <c r="C127" t="s">
        <v>468</v>
      </c>
      <c r="D127" s="5">
        <v>1555124413000000</v>
      </c>
      <c r="E127" s="5">
        <v>1466843839000000</v>
      </c>
      <c r="F127" s="5">
        <v>1474783364000000</v>
      </c>
      <c r="G127" s="5">
        <v>1482119977000000</v>
      </c>
      <c r="I127" s="5">
        <v>1466843839000000</v>
      </c>
      <c r="J127" s="5">
        <v>1365450104000000</v>
      </c>
      <c r="K127" s="5">
        <v>1358328761000000</v>
      </c>
      <c r="L127" s="5">
        <v>1307884013000000</v>
      </c>
      <c r="M127" s="5">
        <v>1138743215000000</v>
      </c>
      <c r="N127" s="5">
        <v>1121102149000000</v>
      </c>
      <c r="O127" s="5">
        <v>1021196659000000</v>
      </c>
      <c r="P127" s="5">
        <v>944268737000000</v>
      </c>
      <c r="Q127" s="5">
        <v>841656450000000</v>
      </c>
      <c r="R127" s="5">
        <v>754526374000000</v>
      </c>
      <c r="S127" s="5">
        <v>668995379000000</v>
      </c>
      <c r="T127" s="5">
        <v>622321846000000</v>
      </c>
      <c r="U127" s="5">
        <v>504281382000000</v>
      </c>
      <c r="V127" s="5">
        <v>450166383000000</v>
      </c>
      <c r="W127" s="5">
        <v>384264345000000</v>
      </c>
      <c r="X127" s="5">
        <v>333652397000000</v>
      </c>
      <c r="Y127" s="5">
        <v>255928261000000</v>
      </c>
      <c r="Z127" s="5">
        <v>201537439000000</v>
      </c>
    </row>
    <row r="128" spans="3:26" ht="15.5" x14ac:dyDescent="0.35">
      <c r="C128" t="s">
        <v>89</v>
      </c>
      <c r="D128" s="5">
        <v>496505605000000</v>
      </c>
      <c r="E128" s="5">
        <v>431054307000000</v>
      </c>
      <c r="F128" s="5">
        <v>477160986000000</v>
      </c>
      <c r="G128" s="5">
        <v>511174475000000</v>
      </c>
      <c r="I128" s="5">
        <v>431054307000000</v>
      </c>
      <c r="J128" s="5">
        <v>446468817000000</v>
      </c>
      <c r="K128" s="5">
        <v>484258839000000</v>
      </c>
      <c r="L128" s="5">
        <v>435480503000000</v>
      </c>
      <c r="M128" s="5">
        <v>420476279000000</v>
      </c>
      <c r="N128" s="5">
        <v>426399550000000</v>
      </c>
      <c r="O128" s="5">
        <v>413223653000000</v>
      </c>
      <c r="P128" s="5">
        <v>357413513000000</v>
      </c>
      <c r="Q128" s="5">
        <v>326417937000000</v>
      </c>
      <c r="R128" s="5">
        <v>293029378000000</v>
      </c>
      <c r="S128" s="5">
        <v>267884404000000</v>
      </c>
      <c r="T128" s="5">
        <v>283457544000000</v>
      </c>
      <c r="U128" s="5">
        <v>201585766000000</v>
      </c>
      <c r="V128" s="5">
        <v>177267237000000</v>
      </c>
      <c r="W128" s="5">
        <v>146006981000000</v>
      </c>
    </row>
    <row r="129" spans="3:26" ht="15.5" x14ac:dyDescent="0.35">
      <c r="C129" t="s">
        <v>549</v>
      </c>
      <c r="D129" s="5">
        <v>496505605000000</v>
      </c>
      <c r="E129" s="5">
        <v>431054307000000</v>
      </c>
      <c r="F129" s="5">
        <v>477160986000000</v>
      </c>
      <c r="G129" s="5">
        <v>511174475000000</v>
      </c>
      <c r="I129" s="5">
        <v>431054307000000</v>
      </c>
      <c r="J129" s="5">
        <v>446468817000000</v>
      </c>
      <c r="K129" s="5">
        <v>484258839000000</v>
      </c>
      <c r="L129" s="5">
        <v>435480503000000</v>
      </c>
      <c r="M129" s="5">
        <v>420476279000000</v>
      </c>
      <c r="N129" s="5">
        <v>426399550000000</v>
      </c>
      <c r="O129" s="5">
        <v>413223653000000</v>
      </c>
      <c r="P129" s="5">
        <v>357413513000000</v>
      </c>
      <c r="Q129" s="5">
        <v>326417937000000</v>
      </c>
      <c r="R129" s="5">
        <v>293029378000000</v>
      </c>
      <c r="S129" s="5">
        <v>267884404000000</v>
      </c>
      <c r="T129" s="5">
        <v>283457544000000</v>
      </c>
      <c r="U129" s="5">
        <v>201585766000000</v>
      </c>
      <c r="V129" s="5">
        <v>177267237000000</v>
      </c>
      <c r="W129" s="5">
        <v>146006981000000</v>
      </c>
      <c r="X129" s="5">
        <v>126309586000000</v>
      </c>
      <c r="Y129" s="5">
        <v>100034299000000</v>
      </c>
      <c r="Z129" s="5">
        <v>73320676000000</v>
      </c>
    </row>
    <row r="130" spans="3:26" ht="15.5" x14ac:dyDescent="0.35">
      <c r="C130" t="s">
        <v>469</v>
      </c>
      <c r="D130" s="5">
        <v>1555124413000000</v>
      </c>
      <c r="E130" s="5">
        <v>1466843839000000</v>
      </c>
      <c r="F130" s="5">
        <v>1474783364000000</v>
      </c>
      <c r="G130" s="5">
        <v>1482119977000000</v>
      </c>
      <c r="I130" s="5">
        <v>1466843839000000</v>
      </c>
      <c r="J130" s="5">
        <v>1365450104000000</v>
      </c>
      <c r="K130" s="5">
        <v>1358328761000000</v>
      </c>
      <c r="L130" s="5">
        <v>1307884013000000</v>
      </c>
      <c r="M130" s="5">
        <v>1138743215000000</v>
      </c>
      <c r="N130" s="5">
        <v>1121102149000000</v>
      </c>
      <c r="O130" s="5">
        <v>1021196659000000</v>
      </c>
      <c r="P130" s="5">
        <v>944268737000000</v>
      </c>
      <c r="Q130" s="5">
        <v>841656450000000</v>
      </c>
      <c r="R130" s="5">
        <v>754526374000000</v>
      </c>
      <c r="S130" s="5">
        <v>668995379000000</v>
      </c>
      <c r="T130" s="5">
        <v>622321846000000</v>
      </c>
      <c r="U130" s="5">
        <v>504281382000000</v>
      </c>
      <c r="V130" s="5">
        <v>450166383000000</v>
      </c>
      <c r="W130" s="5">
        <v>384264345000000</v>
      </c>
      <c r="X130" s="5">
        <v>333652397000000</v>
      </c>
      <c r="Y130" s="5">
        <v>255928261000000</v>
      </c>
      <c r="Z130" s="5">
        <v>201537439000000</v>
      </c>
    </row>
    <row r="131" spans="3:26" ht="15.5" x14ac:dyDescent="0.35">
      <c r="C131" t="s">
        <v>374</v>
      </c>
      <c r="D131" s="5">
        <v>1495161000000</v>
      </c>
      <c r="E131" s="5">
        <v>1101753000000</v>
      </c>
      <c r="F131" s="5">
        <v>1856967000000</v>
      </c>
      <c r="G131" s="5">
        <v>607177000000</v>
      </c>
      <c r="I131" s="5">
        <v>1101753000000</v>
      </c>
      <c r="J131" s="5">
        <v>1585120000000</v>
      </c>
      <c r="K131" s="5">
        <v>925210000000</v>
      </c>
      <c r="L131" s="5">
        <v>783921000000</v>
      </c>
      <c r="M131" s="5">
        <v>199695000000</v>
      </c>
      <c r="N131" s="5">
        <v>407774000000</v>
      </c>
      <c r="O131" s="5">
        <v>184605000000</v>
      </c>
      <c r="P131" s="5">
        <v>332343000000</v>
      </c>
      <c r="Q131" s="5">
        <v>200858000000</v>
      </c>
      <c r="R131" s="5">
        <v>347217000000</v>
      </c>
      <c r="S131" s="5">
        <v>445753000000</v>
      </c>
      <c r="T131" s="5">
        <v>717523000000</v>
      </c>
      <c r="U131" s="5">
        <v>1565102000000</v>
      </c>
      <c r="V131" s="5">
        <v>152193000000</v>
      </c>
      <c r="W131" s="5">
        <v>173536000000</v>
      </c>
      <c r="X131" s="5">
        <v>81801000000</v>
      </c>
      <c r="Y131" s="5">
        <v>277302000000</v>
      </c>
      <c r="Z131" s="5">
        <v>1313676000000</v>
      </c>
    </row>
    <row r="132" spans="3:26" ht="15.5" x14ac:dyDescent="0.35">
      <c r="C132" t="s">
        <v>472</v>
      </c>
      <c r="D132" s="5">
        <v>9445402000000</v>
      </c>
      <c r="E132" s="5">
        <v>13078567000000</v>
      </c>
      <c r="F132" s="5">
        <v>10931431000000</v>
      </c>
      <c r="G132" s="5">
        <v>11506967000000</v>
      </c>
      <c r="I132" s="5">
        <v>13078567000000</v>
      </c>
      <c r="J132" s="5">
        <v>10105373000000</v>
      </c>
      <c r="K132" s="5">
        <v>10217408000000</v>
      </c>
      <c r="L132" s="5">
        <v>7167600000000</v>
      </c>
      <c r="M132" s="5">
        <v>9554238000000</v>
      </c>
      <c r="N132" s="5">
        <v>6817436000000</v>
      </c>
      <c r="O132" s="5">
        <v>9346064000000</v>
      </c>
      <c r="P132" s="5">
        <v>11643003000000</v>
      </c>
      <c r="Q132" s="5">
        <v>5693425000000</v>
      </c>
      <c r="R132" s="5">
        <v>5692583000000</v>
      </c>
      <c r="S132" s="5">
        <v>5163471000000</v>
      </c>
      <c r="T132" s="5">
        <v>6525688000000</v>
      </c>
      <c r="U132" s="5">
        <v>3679684000000</v>
      </c>
      <c r="V132" s="5">
        <v>4786121000000</v>
      </c>
      <c r="W132" s="5">
        <v>1692176000000</v>
      </c>
      <c r="X132" s="5">
        <v>666878000000</v>
      </c>
      <c r="Y132" s="5">
        <v>352716000000</v>
      </c>
      <c r="Z132" s="5">
        <v>483862000000</v>
      </c>
    </row>
    <row r="133" spans="3:26" ht="15.5" x14ac:dyDescent="0.35">
      <c r="C133" t="s">
        <v>550</v>
      </c>
      <c r="D133" s="5">
        <v>46645309000000</v>
      </c>
      <c r="E133" s="5">
        <v>40901648000000</v>
      </c>
      <c r="F133" s="5">
        <v>41625186000000</v>
      </c>
      <c r="G133" s="5">
        <v>40012484000000</v>
      </c>
      <c r="I133" s="5">
        <v>40901648000000</v>
      </c>
      <c r="J133" s="5">
        <v>32502499000000</v>
      </c>
      <c r="K133" s="5">
        <v>49637581000000</v>
      </c>
      <c r="L133" s="5">
        <v>63611761000000</v>
      </c>
      <c r="M133" s="5">
        <v>55306697000000</v>
      </c>
      <c r="N133" s="5">
        <v>34489091000000</v>
      </c>
      <c r="O133" s="5">
        <v>38620837000000</v>
      </c>
      <c r="P133" s="5">
        <v>31190216000000</v>
      </c>
      <c r="Q133" s="5">
        <v>30619658000000</v>
      </c>
      <c r="R133" s="5">
        <v>24800781000000</v>
      </c>
      <c r="S133" s="5">
        <v>10521103000000</v>
      </c>
      <c r="T133" s="5">
        <v>8257990000000</v>
      </c>
      <c r="U133" s="5">
        <v>6023133000000</v>
      </c>
    </row>
    <row r="134" spans="3:26" ht="15.5" x14ac:dyDescent="0.35">
      <c r="C134" t="s">
        <v>112</v>
      </c>
      <c r="D134" s="5">
        <v>3666889000000</v>
      </c>
      <c r="E134" s="5">
        <v>3299310000000</v>
      </c>
      <c r="F134" s="5">
        <v>2645651000000</v>
      </c>
      <c r="G134" s="5">
        <v>2555300000000</v>
      </c>
      <c r="I134" s="5">
        <v>3299310000000</v>
      </c>
      <c r="J134" s="5">
        <v>2150487000000</v>
      </c>
      <c r="K134" s="5">
        <v>2546839000000</v>
      </c>
      <c r="L134" s="5">
        <v>3053782000000</v>
      </c>
      <c r="M134" s="5">
        <v>4214318000000</v>
      </c>
      <c r="N134" s="5">
        <v>1400638000000</v>
      </c>
      <c r="O134" s="5">
        <v>185443000000</v>
      </c>
      <c r="P134" s="5">
        <v>153833000000</v>
      </c>
      <c r="Q134" s="5">
        <v>564798000000</v>
      </c>
      <c r="R134" s="5">
        <v>942401000000</v>
      </c>
      <c r="S134" s="5">
        <v>1497262000000</v>
      </c>
      <c r="T134" s="5">
        <v>59805000000</v>
      </c>
      <c r="U134" s="5">
        <v>1266018000000</v>
      </c>
      <c r="V134" s="5">
        <v>895695000000</v>
      </c>
      <c r="W134" s="5">
        <v>1105997000000</v>
      </c>
      <c r="X134" s="5">
        <v>1930923000000</v>
      </c>
      <c r="Y134" s="5">
        <v>343492000000</v>
      </c>
      <c r="Z134" s="5">
        <v>300295000000</v>
      </c>
    </row>
    <row r="135" spans="3:26" ht="15.5" x14ac:dyDescent="0.35">
      <c r="C135" t="s">
        <v>474</v>
      </c>
      <c r="D135" s="5">
        <v>159409723000000</v>
      </c>
      <c r="E135" s="5">
        <v>129186116000000</v>
      </c>
      <c r="F135" s="5">
        <v>111135742000000</v>
      </c>
      <c r="G135" s="5">
        <v>133346187000000</v>
      </c>
      <c r="I135" s="5">
        <v>129186116000000</v>
      </c>
      <c r="J135" s="5">
        <v>127879804000000</v>
      </c>
      <c r="K135" s="5">
        <v>98850813000000</v>
      </c>
      <c r="L135" s="5">
        <v>79371200000000</v>
      </c>
      <c r="M135" s="5">
        <v>68458547000000</v>
      </c>
      <c r="N135" s="5">
        <v>35968985000000</v>
      </c>
      <c r="O135" s="5">
        <v>30921771000000</v>
      </c>
      <c r="P135" s="5">
        <v>40457429000000</v>
      </c>
      <c r="Q135" s="5">
        <v>29403009000000</v>
      </c>
      <c r="R135" s="5">
        <v>35008170000000</v>
      </c>
      <c r="S135" s="5">
        <v>35480358000000</v>
      </c>
      <c r="T135" s="5">
        <v>24986862000000</v>
      </c>
      <c r="U135" s="5">
        <v>9084913000000</v>
      </c>
      <c r="V135" s="5">
        <v>10888755000000</v>
      </c>
      <c r="W135" s="5">
        <v>13097916000000</v>
      </c>
      <c r="X135" s="5">
        <v>9454545000000</v>
      </c>
      <c r="Y135" s="5">
        <v>13611399000000</v>
      </c>
      <c r="Z135" s="5">
        <v>3356495000000</v>
      </c>
    </row>
    <row r="136" spans="3:26" ht="15.5" x14ac:dyDescent="0.35">
      <c r="C136" t="s">
        <v>476</v>
      </c>
      <c r="D136" s="5">
        <v>483579000000</v>
      </c>
      <c r="E136" s="5">
        <v>486867000000</v>
      </c>
      <c r="F136" s="5">
        <v>492289000000</v>
      </c>
      <c r="G136" s="5">
        <v>491659000000</v>
      </c>
      <c r="I136" s="5">
        <v>486867000000</v>
      </c>
      <c r="J136" s="5">
        <v>491781000000</v>
      </c>
      <c r="K136" s="5">
        <v>496683000000</v>
      </c>
      <c r="L136" s="5">
        <v>501988000000</v>
      </c>
      <c r="M136" s="5">
        <v>501375000000</v>
      </c>
      <c r="N136" s="5">
        <v>1465392000000</v>
      </c>
      <c r="O136" s="5">
        <v>1465366000000</v>
      </c>
      <c r="P136" s="5">
        <v>1473515000000</v>
      </c>
      <c r="Q136" s="5">
        <v>986450000000</v>
      </c>
      <c r="R136" s="5">
        <v>1008510000000</v>
      </c>
      <c r="S136" s="5">
        <v>56468000000</v>
      </c>
      <c r="T136" s="5">
        <v>77582000000</v>
      </c>
      <c r="U136" s="5">
        <v>2097024000000</v>
      </c>
      <c r="V136" s="5">
        <v>2116562000000</v>
      </c>
      <c r="W136" s="5">
        <v>2136288000000</v>
      </c>
      <c r="X136" s="5">
        <v>2156181000000</v>
      </c>
      <c r="Y136" s="5">
        <v>2678422000000</v>
      </c>
      <c r="Z136" s="5">
        <v>710634000000</v>
      </c>
    </row>
    <row r="137" spans="3:26" ht="15.5" x14ac:dyDescent="0.35">
      <c r="C137" t="s">
        <v>128</v>
      </c>
      <c r="D137" s="5">
        <v>1904771578000000</v>
      </c>
      <c r="E137" s="5">
        <v>1804429671000000</v>
      </c>
      <c r="F137" s="5">
        <v>1785548557000000</v>
      </c>
      <c r="G137" s="5">
        <v>1784298684000000</v>
      </c>
      <c r="I137" s="5">
        <v>1804429671000000</v>
      </c>
      <c r="J137" s="5">
        <v>1668871890000000</v>
      </c>
      <c r="K137" s="5">
        <v>1648534888000000</v>
      </c>
      <c r="L137" s="5">
        <v>1562243693000000</v>
      </c>
      <c r="M137" s="5">
        <v>1386310930000000</v>
      </c>
      <c r="N137" s="5">
        <v>1311893252000000</v>
      </c>
      <c r="O137" s="5">
        <v>1207974504000000</v>
      </c>
      <c r="P137" s="5">
        <v>1111622961000000</v>
      </c>
      <c r="Q137" s="5">
        <v>958900948000000</v>
      </c>
      <c r="R137" s="5">
        <v>856831836000000</v>
      </c>
      <c r="S137" s="5">
        <v>765299133000000</v>
      </c>
      <c r="T137" s="5">
        <v>704217592000000</v>
      </c>
      <c r="U137" s="5">
        <v>546855504000000</v>
      </c>
      <c r="V137" s="5">
        <v>486455011000000</v>
      </c>
      <c r="W137" s="5">
        <v>420078955000000</v>
      </c>
      <c r="X137" s="5">
        <v>367612492000000</v>
      </c>
      <c r="Y137" s="5">
        <v>289689648000000</v>
      </c>
      <c r="Z137" s="5">
        <v>223720199000000</v>
      </c>
    </row>
    <row r="138" spans="3:26" ht="15.5" x14ac:dyDescent="0.35">
      <c r="C138" t="s">
        <v>129</v>
      </c>
    </row>
    <row r="139" spans="3:26" ht="15.5" x14ac:dyDescent="0.35">
      <c r="C139" t="s">
        <v>130</v>
      </c>
      <c r="D139" s="5">
        <v>7577950000000</v>
      </c>
      <c r="E139" s="5">
        <v>7577950000000</v>
      </c>
      <c r="F139" s="5">
        <v>7577950000000</v>
      </c>
      <c r="G139" s="5">
        <v>7577950000000</v>
      </c>
      <c r="I139" s="5">
        <v>7577950000000</v>
      </c>
      <c r="J139" s="5">
        <v>7577950000000</v>
      </c>
      <c r="K139" s="5">
        <v>7577950000000</v>
      </c>
      <c r="L139" s="5">
        <v>7577950000000</v>
      </c>
      <c r="M139" s="5">
        <v>7577950000000</v>
      </c>
      <c r="N139" s="5">
        <v>6167291000000</v>
      </c>
      <c r="O139" s="5">
        <v>6167291000000</v>
      </c>
      <c r="P139" s="5">
        <v>6167291000000</v>
      </c>
      <c r="Q139" s="5">
        <v>6167291000000</v>
      </c>
      <c r="R139" s="5">
        <v>6167291000000</v>
      </c>
      <c r="S139" s="5">
        <v>6167291000000</v>
      </c>
      <c r="T139" s="5">
        <v>6167291000000</v>
      </c>
      <c r="U139" s="5">
        <v>6167291000000</v>
      </c>
      <c r="V139" s="5">
        <v>6167291000000</v>
      </c>
      <c r="W139" s="5">
        <v>6167291000000</v>
      </c>
      <c r="X139" s="5">
        <v>6167291000000</v>
      </c>
      <c r="Y139" s="5">
        <v>6164926000000</v>
      </c>
      <c r="Z139" s="5">
        <v>6162650000000</v>
      </c>
    </row>
    <row r="140" spans="3:26" ht="15.5" x14ac:dyDescent="0.35">
      <c r="C140" t="s">
        <v>131</v>
      </c>
      <c r="D140" s="5">
        <v>75946195000000</v>
      </c>
      <c r="E140" s="5">
        <v>75946195000000</v>
      </c>
      <c r="F140" s="5">
        <v>75891366000000</v>
      </c>
      <c r="G140" s="5">
        <v>75891366000000</v>
      </c>
      <c r="I140" s="5">
        <v>75946195000000</v>
      </c>
      <c r="J140" s="5">
        <v>75880223000000</v>
      </c>
      <c r="K140" s="5">
        <v>75853127000000</v>
      </c>
      <c r="L140" s="5">
        <v>75637083000000</v>
      </c>
      <c r="M140" s="5">
        <v>76242898000000</v>
      </c>
      <c r="N140" s="5">
        <v>3411813000000</v>
      </c>
      <c r="O140" s="5">
        <v>2900994000000</v>
      </c>
      <c r="P140" s="5">
        <v>2692663000000</v>
      </c>
      <c r="Q140" s="5">
        <v>2773858000000</v>
      </c>
      <c r="R140" s="5">
        <v>2773858000000</v>
      </c>
      <c r="S140" s="5">
        <v>2773858000000</v>
      </c>
      <c r="T140" s="5">
        <v>2773858000000</v>
      </c>
      <c r="U140" s="5">
        <v>2773858000000</v>
      </c>
      <c r="V140" s="5">
        <v>2773858000000</v>
      </c>
      <c r="W140" s="5">
        <v>2773858000000</v>
      </c>
      <c r="X140" s="5">
        <v>2773858000000</v>
      </c>
      <c r="Y140" s="5">
        <v>2722349000000</v>
      </c>
      <c r="Z140" s="5">
        <v>2706137000000</v>
      </c>
    </row>
    <row r="141" spans="3:26" ht="15.5" x14ac:dyDescent="0.35">
      <c r="C141" t="s">
        <v>132</v>
      </c>
      <c r="D141" s="5">
        <v>238156088000000</v>
      </c>
      <c r="E141" s="5">
        <v>222663378000000</v>
      </c>
      <c r="F141" s="5">
        <v>227896570000000</v>
      </c>
      <c r="G141" s="5">
        <v>213386725000000</v>
      </c>
      <c r="I141" s="5">
        <v>222663378000000</v>
      </c>
      <c r="J141" s="5">
        <v>218032389000000</v>
      </c>
      <c r="K141" s="5">
        <v>213711422000000</v>
      </c>
      <c r="L141" s="5">
        <v>201169934000000</v>
      </c>
      <c r="M141" s="5">
        <v>185009048000000</v>
      </c>
      <c r="N141" s="5">
        <v>166972167000000</v>
      </c>
      <c r="O141" s="5">
        <v>181327431000000</v>
      </c>
      <c r="P141" s="5">
        <v>163130389000000</v>
      </c>
      <c r="Q141" s="5">
        <v>143827697000000</v>
      </c>
      <c r="R141" s="5">
        <v>125309471000000</v>
      </c>
      <c r="S141" s="5">
        <v>106733021000000</v>
      </c>
      <c r="T141" s="5">
        <v>88761688000000</v>
      </c>
      <c r="U141" s="5">
        <v>70868083000000</v>
      </c>
      <c r="V141" s="5">
        <v>55080238000000</v>
      </c>
      <c r="W141" s="5">
        <v>40019254000000</v>
      </c>
      <c r="X141" s="5">
        <v>27123160000000</v>
      </c>
      <c r="Y141" s="5">
        <v>17834694000000</v>
      </c>
      <c r="Z141" s="5">
        <v>13324726000000</v>
      </c>
    </row>
    <row r="142" spans="3:26" ht="15.5" x14ac:dyDescent="0.35">
      <c r="C142" t="s">
        <v>133</v>
      </c>
      <c r="D142" s="5">
        <v>3022685000000</v>
      </c>
      <c r="E142" s="5">
        <v>3022685000000</v>
      </c>
      <c r="F142" s="5">
        <v>3022685000000</v>
      </c>
      <c r="G142" s="5">
        <v>3022685000000</v>
      </c>
      <c r="I142" s="5">
        <v>3022685000000</v>
      </c>
      <c r="J142" s="5">
        <v>3022685000000</v>
      </c>
      <c r="K142" s="5">
        <v>3022685000000</v>
      </c>
      <c r="L142" s="5">
        <v>3022685000000</v>
      </c>
      <c r="M142" s="5">
        <v>3022685000000</v>
      </c>
      <c r="N142" s="5">
        <v>3022685000000</v>
      </c>
      <c r="O142" s="5">
        <v>3022685000000</v>
      </c>
      <c r="P142" s="5">
        <v>3022685000000</v>
      </c>
      <c r="Q142" s="5">
        <v>3022685000000</v>
      </c>
      <c r="R142" s="5">
        <v>3022685000000</v>
      </c>
      <c r="S142" s="5">
        <v>18115741000000</v>
      </c>
      <c r="T142" s="5">
        <v>15449160000000</v>
      </c>
      <c r="U142" s="5">
        <v>11005528000000</v>
      </c>
      <c r="V142" s="5">
        <v>8412595000000</v>
      </c>
      <c r="W142" s="5">
        <v>8261766000000</v>
      </c>
      <c r="X142" s="5">
        <v>7974956000000</v>
      </c>
      <c r="Y142" s="5">
        <v>7024878000000</v>
      </c>
      <c r="Z142" s="5">
        <v>6488625000000</v>
      </c>
    </row>
    <row r="143" spans="3:26" ht="15.5" x14ac:dyDescent="0.35">
      <c r="C143" t="s">
        <v>134</v>
      </c>
      <c r="D143" s="5">
        <v>235133403000000</v>
      </c>
      <c r="E143" s="5">
        <v>219640693000000</v>
      </c>
      <c r="F143" s="5">
        <v>224873885000000</v>
      </c>
      <c r="G143" s="5">
        <v>210364040000000</v>
      </c>
      <c r="I143" s="5">
        <v>219640693000000</v>
      </c>
      <c r="J143" s="5">
        <v>215009704000000</v>
      </c>
      <c r="K143" s="5">
        <v>210688737000000</v>
      </c>
      <c r="L143" s="5">
        <v>198147249000000</v>
      </c>
      <c r="M143" s="5">
        <v>181986363000000</v>
      </c>
      <c r="N143" s="5">
        <v>163949482000000</v>
      </c>
      <c r="O143" s="5">
        <v>178304746000000</v>
      </c>
      <c r="P143" s="5">
        <v>160107704000000</v>
      </c>
      <c r="Q143" s="5">
        <v>140805012000000</v>
      </c>
      <c r="R143" s="5">
        <v>122286786000000</v>
      </c>
      <c r="S143" s="5">
        <v>88617280000000</v>
      </c>
      <c r="T143" s="5">
        <v>73312528000000</v>
      </c>
      <c r="U143" s="5">
        <v>59862555000000</v>
      </c>
      <c r="V143" s="5">
        <v>46667643000000</v>
      </c>
      <c r="W143" s="5">
        <v>31757488000000</v>
      </c>
      <c r="X143" s="5">
        <v>19148204000000</v>
      </c>
      <c r="Y143" s="5">
        <v>10809816000000</v>
      </c>
      <c r="Z143" s="5">
        <v>6836101000000</v>
      </c>
    </row>
    <row r="144" spans="3:26" ht="15.5" x14ac:dyDescent="0.35">
      <c r="C144" t="s">
        <v>135</v>
      </c>
      <c r="D144" s="5">
        <v>238156088000000</v>
      </c>
      <c r="E144" s="5">
        <v>222663378000000</v>
      </c>
      <c r="F144" s="5">
        <v>227896570000000</v>
      </c>
      <c r="G144" s="5">
        <v>213386725000000</v>
      </c>
      <c r="I144" s="5">
        <v>222663378000000</v>
      </c>
      <c r="J144" s="5">
        <v>218032389000000</v>
      </c>
      <c r="K144" s="5">
        <v>213711422000000</v>
      </c>
      <c r="L144" s="5">
        <v>201169934000000</v>
      </c>
      <c r="M144" s="5">
        <v>185009048000000</v>
      </c>
      <c r="N144" s="5">
        <v>166972167000000</v>
      </c>
      <c r="O144" s="5">
        <v>181327431000000</v>
      </c>
      <c r="P144" s="5">
        <v>163130389000000</v>
      </c>
      <c r="Q144" s="5">
        <v>143827697000000</v>
      </c>
      <c r="R144" s="5">
        <v>125309471000000</v>
      </c>
      <c r="S144" s="5">
        <v>106733021000000</v>
      </c>
      <c r="T144" s="5">
        <v>88761688000000</v>
      </c>
      <c r="U144" s="5">
        <v>70868083000000</v>
      </c>
      <c r="V144" s="5">
        <v>55080238000000</v>
      </c>
      <c r="W144" s="5">
        <v>40019254000000</v>
      </c>
      <c r="X144" s="5">
        <v>27123160000000</v>
      </c>
      <c r="Y144" s="5">
        <v>17834694000000</v>
      </c>
      <c r="Z144" s="5">
        <v>13324726000000</v>
      </c>
    </row>
    <row r="145" spans="2:26" ht="15.5" x14ac:dyDescent="0.35">
      <c r="C145" t="s">
        <v>136</v>
      </c>
      <c r="D145" s="5">
        <v>6858526000000</v>
      </c>
      <c r="E145" s="5">
        <v>6907576000000</v>
      </c>
      <c r="F145" s="5">
        <v>6707443000000</v>
      </c>
      <c r="G145" s="5">
        <v>6570928000000</v>
      </c>
      <c r="I145" s="5">
        <v>6907576000000</v>
      </c>
      <c r="J145" s="5">
        <v>6286665000000</v>
      </c>
      <c r="K145" s="5">
        <v>5108586000000</v>
      </c>
      <c r="L145" s="5">
        <v>4101306000000</v>
      </c>
      <c r="M145" s="5">
        <v>3051821000000</v>
      </c>
      <c r="N145" s="5">
        <v>2533809000000</v>
      </c>
      <c r="O145" s="5">
        <v>2460903000000</v>
      </c>
      <c r="P145" s="5">
        <v>2307788000000</v>
      </c>
      <c r="Q145" s="5">
        <v>598677000000</v>
      </c>
      <c r="R145" s="5">
        <v>391248000000</v>
      </c>
      <c r="S145" s="5">
        <v>294318000000</v>
      </c>
      <c r="T145" s="5">
        <v>177012000000</v>
      </c>
      <c r="U145" s="5">
        <v>163751000000</v>
      </c>
      <c r="V145" s="5">
        <v>75021000000</v>
      </c>
      <c r="W145" s="5">
        <v>45769000000</v>
      </c>
    </row>
    <row r="146" spans="2:26" ht="15.5" x14ac:dyDescent="0.35">
      <c r="C146" t="s">
        <v>8</v>
      </c>
      <c r="D146" s="5">
        <v>345062054000000</v>
      </c>
      <c r="E146" s="5">
        <v>330941434000000</v>
      </c>
      <c r="F146" s="5">
        <v>337898261000000</v>
      </c>
      <c r="G146" s="5">
        <v>322072263000000</v>
      </c>
      <c r="I146" s="5">
        <v>330941434000000</v>
      </c>
      <c r="J146" s="5">
        <v>323315016000000</v>
      </c>
      <c r="K146" s="5">
        <v>316472142000000</v>
      </c>
      <c r="L146" s="5">
        <v>303395317000000</v>
      </c>
      <c r="M146" s="5">
        <v>291786804000000</v>
      </c>
      <c r="N146" s="5">
        <v>199911376000000</v>
      </c>
      <c r="O146" s="5">
        <v>208784336000000</v>
      </c>
      <c r="P146" s="5">
        <v>185275331000000</v>
      </c>
      <c r="Q146" s="5">
        <v>167347494000000</v>
      </c>
      <c r="R146" s="5">
        <v>146812590000000</v>
      </c>
      <c r="S146" s="5">
        <v>113127179000000</v>
      </c>
      <c r="T146" s="5">
        <v>97737429000000</v>
      </c>
      <c r="U146" s="5">
        <v>79327422000000</v>
      </c>
      <c r="V146" s="5">
        <v>64881779000000</v>
      </c>
      <c r="W146" s="5">
        <v>49820329000000</v>
      </c>
      <c r="X146" s="5">
        <v>36673110000000</v>
      </c>
      <c r="Y146" s="5">
        <v>27257381000000</v>
      </c>
      <c r="Z146" s="5">
        <v>22356697000000</v>
      </c>
    </row>
    <row r="147" spans="2:26" ht="15.5" x14ac:dyDescent="0.35">
      <c r="C147" t="s">
        <v>137</v>
      </c>
      <c r="D147" s="5">
        <v>2249833632000000</v>
      </c>
      <c r="E147" s="5">
        <v>2135371105000000</v>
      </c>
      <c r="F147" s="5">
        <v>2123446818000000</v>
      </c>
      <c r="G147" s="5">
        <v>2106370947000000</v>
      </c>
      <c r="I147" s="5">
        <v>2135371105000000</v>
      </c>
      <c r="J147" s="5">
        <v>1992186906000000</v>
      </c>
      <c r="K147" s="5">
        <v>1965007030000000</v>
      </c>
      <c r="L147" s="5">
        <v>1865639010000000</v>
      </c>
      <c r="M147" s="5">
        <v>1678097734000000</v>
      </c>
      <c r="N147" s="5">
        <v>1511804628000000</v>
      </c>
      <c r="O147" s="5">
        <v>1416758840000000</v>
      </c>
      <c r="P147" s="5">
        <v>1296898292000000</v>
      </c>
      <c r="Q147" s="5">
        <v>1126248442000000</v>
      </c>
      <c r="R147" s="5">
        <v>1003644426000000</v>
      </c>
      <c r="S147" s="5">
        <v>878426312000000</v>
      </c>
      <c r="T147" s="5">
        <v>801955021000000</v>
      </c>
      <c r="U147" s="5">
        <v>626182926000000</v>
      </c>
      <c r="V147" s="5">
        <v>551336790000000</v>
      </c>
      <c r="W147" s="5">
        <v>469899284000000</v>
      </c>
      <c r="X147" s="5">
        <v>404285602000000</v>
      </c>
      <c r="Y147" s="5">
        <v>316947029000000</v>
      </c>
      <c r="Z147" s="5">
        <v>246076896000000</v>
      </c>
    </row>
    <row r="148" spans="2:26" ht="15.5" x14ac:dyDescent="0.35">
      <c r="C148" t="s">
        <v>138</v>
      </c>
      <c r="D148" s="5">
        <v>151559001604</v>
      </c>
      <c r="E148" s="5">
        <v>151559001604</v>
      </c>
      <c r="F148" s="5">
        <v>151559001604</v>
      </c>
      <c r="G148" s="5">
        <v>151559001604</v>
      </c>
      <c r="I148" s="5">
        <v>151559001604</v>
      </c>
      <c r="J148" s="5">
        <v>151559001604</v>
      </c>
      <c r="K148" s="5">
        <v>151559001604</v>
      </c>
      <c r="L148" s="5">
        <v>151559001604</v>
      </c>
      <c r="M148" s="5">
        <v>151559001604</v>
      </c>
      <c r="N148" s="5">
        <v>123345810000</v>
      </c>
      <c r="O148" s="5">
        <v>123345810000</v>
      </c>
      <c r="P148" s="5">
        <v>123345810000</v>
      </c>
      <c r="Q148" s="5">
        <v>123345810000</v>
      </c>
      <c r="R148" s="5">
        <v>24669162000</v>
      </c>
      <c r="S148" s="5">
        <v>24669162000</v>
      </c>
      <c r="T148" s="5">
        <v>24669162000</v>
      </c>
      <c r="U148" s="5">
        <v>24669162000</v>
      </c>
      <c r="V148" s="5">
        <v>24669162000</v>
      </c>
      <c r="W148" s="5">
        <v>24669162000</v>
      </c>
      <c r="X148" s="5">
        <v>12334581000</v>
      </c>
      <c r="Y148" s="5">
        <v>12329852500</v>
      </c>
      <c r="Z148" s="5">
        <v>12325299500</v>
      </c>
    </row>
    <row r="150" spans="2:26" ht="15.5" x14ac:dyDescent="0.35">
      <c r="B150" t="s">
        <v>139</v>
      </c>
      <c r="C150" t="s">
        <v>140</v>
      </c>
      <c r="D150" s="5">
        <v>50249703000000</v>
      </c>
      <c r="E150" s="5">
        <v>-86072401000000</v>
      </c>
      <c r="F150" s="5">
        <v>24339823000000</v>
      </c>
      <c r="G150" s="5">
        <v>2756065000000</v>
      </c>
      <c r="I150" s="5">
        <v>14617023000000</v>
      </c>
      <c r="J150" s="5">
        <v>24283108000000</v>
      </c>
      <c r="K150" s="5">
        <v>-4971454000000</v>
      </c>
      <c r="L150" s="5">
        <v>97506005000000</v>
      </c>
      <c r="M150" s="5">
        <v>32588374000000</v>
      </c>
      <c r="N150" s="5">
        <v>66689187000000</v>
      </c>
      <c r="O150" s="5">
        <v>44583078000000</v>
      </c>
      <c r="P150" s="5">
        <v>57262380000000</v>
      </c>
      <c r="Q150" s="5">
        <v>39299109000000</v>
      </c>
      <c r="R150" s="5">
        <v>21770833000000</v>
      </c>
      <c r="S150" s="5">
        <v>45544908000000</v>
      </c>
      <c r="T150" s="5">
        <v>75822636000000</v>
      </c>
      <c r="U150" s="5">
        <v>-490456000000</v>
      </c>
      <c r="V150" s="5">
        <v>-24367229000000</v>
      </c>
      <c r="W150" s="5">
        <v>15551390000000</v>
      </c>
      <c r="X150" s="5">
        <v>44813470000000</v>
      </c>
      <c r="Y150" s="5">
        <v>1506696000000</v>
      </c>
      <c r="Z150" s="5">
        <v>-15797753000000</v>
      </c>
    </row>
    <row r="151" spans="2:26" ht="15.5" x14ac:dyDescent="0.35">
      <c r="C151" t="s">
        <v>551</v>
      </c>
      <c r="T151" s="5">
        <v>75112561000000</v>
      </c>
      <c r="U151" s="5">
        <v>59350676000000</v>
      </c>
      <c r="V151" s="5">
        <v>49830419000000</v>
      </c>
      <c r="W151" s="5">
        <v>47778151000000</v>
      </c>
      <c r="X151" s="5">
        <v>46642900000000</v>
      </c>
      <c r="Y151" s="5">
        <v>35065389000000</v>
      </c>
      <c r="Z151" s="5">
        <v>27591162000000</v>
      </c>
    </row>
    <row r="152" spans="2:26" ht="15.5" x14ac:dyDescent="0.35">
      <c r="C152" t="s">
        <v>552</v>
      </c>
      <c r="D152" s="5">
        <v>41092667000000</v>
      </c>
      <c r="E152" s="5">
        <v>42205983000000</v>
      </c>
      <c r="F152" s="5">
        <v>50205282000000</v>
      </c>
      <c r="G152" s="5">
        <v>55948399000000</v>
      </c>
      <c r="I152" s="5">
        <v>188133607000000</v>
      </c>
      <c r="J152" s="5">
        <v>191363148000000</v>
      </c>
      <c r="K152" s="5">
        <v>169068778000000</v>
      </c>
      <c r="L152" s="5">
        <v>130501831000000</v>
      </c>
      <c r="M152" s="5">
        <v>140183030000000</v>
      </c>
      <c r="N152" s="5">
        <v>109112566000000</v>
      </c>
      <c r="O152" s="5">
        <v>117464011000000</v>
      </c>
      <c r="P152" s="5">
        <v>102362129000000</v>
      </c>
      <c r="Q152" s="5">
        <v>100171404000000</v>
      </c>
      <c r="R152" s="5">
        <v>91595203000000</v>
      </c>
      <c r="S152" s="5">
        <v>82595882000000</v>
      </c>
    </row>
    <row r="153" spans="2:26" ht="15.5" x14ac:dyDescent="0.35">
      <c r="C153" t="s">
        <v>532</v>
      </c>
      <c r="D153" s="5">
        <v>3598087000000</v>
      </c>
      <c r="E153" s="5">
        <v>3942152000000</v>
      </c>
      <c r="F153" s="5">
        <v>3939549000000</v>
      </c>
      <c r="G153" s="5">
        <v>3371196000000</v>
      </c>
      <c r="I153" s="5">
        <v>14733244000000</v>
      </c>
      <c r="J153" s="5">
        <v>13891084000000</v>
      </c>
      <c r="K153" s="5">
        <v>12922019000000</v>
      </c>
      <c r="L153" s="5">
        <v>10118043000000</v>
      </c>
      <c r="M153" s="5">
        <v>2358545000000</v>
      </c>
      <c r="N153" s="5">
        <v>4348425000000</v>
      </c>
      <c r="O153" s="5">
        <v>3376547000000</v>
      </c>
      <c r="P153" s="5">
        <v>3124446000000</v>
      </c>
      <c r="Q153" s="5">
        <v>2819042000000</v>
      </c>
      <c r="R153" s="5">
        <v>2636677000000</v>
      </c>
      <c r="S153" s="5">
        <v>2426292000000</v>
      </c>
    </row>
    <row r="154" spans="2:26" ht="15.5" x14ac:dyDescent="0.35">
      <c r="C154" t="s">
        <v>531</v>
      </c>
      <c r="D154" s="5">
        <v>1568522000000</v>
      </c>
      <c r="E154" s="5">
        <v>6349357000000</v>
      </c>
      <c r="F154" s="5">
        <v>11837000000</v>
      </c>
      <c r="G154" s="5">
        <v>-1835257000000</v>
      </c>
      <c r="I154" s="5">
        <v>6383438000000</v>
      </c>
      <c r="J154" s="5">
        <v>8760610000000</v>
      </c>
      <c r="K154" s="5">
        <v>8996516000000</v>
      </c>
      <c r="L154" s="5">
        <v>8936995000000</v>
      </c>
      <c r="M154" s="5">
        <v>6989783000000</v>
      </c>
      <c r="N154" s="5">
        <v>6208716000000</v>
      </c>
      <c r="O154" s="5">
        <v>5373757000000</v>
      </c>
      <c r="P154" s="5">
        <v>4178213000000</v>
      </c>
      <c r="Q154" s="5">
        <v>3788965000000</v>
      </c>
      <c r="R154" s="5">
        <v>2474579000000</v>
      </c>
    </row>
    <row r="155" spans="2:26" ht="15.5" x14ac:dyDescent="0.35">
      <c r="C155" t="s">
        <v>553</v>
      </c>
      <c r="D155" s="5">
        <v>33091824000000</v>
      </c>
      <c r="E155" s="5">
        <v>20259810000000</v>
      </c>
      <c r="F155" s="5">
        <v>14061776000000</v>
      </c>
      <c r="G155" s="5">
        <v>16264138000000</v>
      </c>
      <c r="I155" s="5">
        <v>61566593000000</v>
      </c>
      <c r="J155" s="5">
        <v>18192082000000</v>
      </c>
      <c r="K155" s="5">
        <v>7982888000000</v>
      </c>
    </row>
    <row r="156" spans="2:26" ht="15.5" x14ac:dyDescent="0.35">
      <c r="C156" t="s">
        <v>554</v>
      </c>
      <c r="E156" s="5">
        <v>-6820464000000</v>
      </c>
      <c r="F156" s="5">
        <v>2353755000000</v>
      </c>
      <c r="G156" s="5">
        <v>4466709000000</v>
      </c>
    </row>
    <row r="157" spans="2:26" ht="15.5" x14ac:dyDescent="0.35">
      <c r="C157" t="s">
        <v>555</v>
      </c>
      <c r="D157" s="5">
        <v>79351100000000</v>
      </c>
      <c r="E157" s="5">
        <v>65936838000000</v>
      </c>
      <c r="F157" s="5">
        <v>70572199000000</v>
      </c>
      <c r="G157" s="5">
        <v>78215185000000</v>
      </c>
      <c r="I157" s="5">
        <v>270816882000000</v>
      </c>
      <c r="J157" s="5">
        <v>232206924000000</v>
      </c>
      <c r="K157" s="5">
        <v>198970201000000</v>
      </c>
      <c r="L157" s="5">
        <v>149556869000000</v>
      </c>
      <c r="M157" s="5">
        <v>149531358000000</v>
      </c>
      <c r="N157" s="5">
        <v>119669707000000</v>
      </c>
      <c r="O157" s="5">
        <v>126214315000000</v>
      </c>
      <c r="P157" s="5">
        <v>109664788000000</v>
      </c>
      <c r="Q157" s="5">
        <v>106779411000000</v>
      </c>
      <c r="R157" s="5">
        <v>96706459000000</v>
      </c>
      <c r="S157" s="5">
        <v>85022174000000</v>
      </c>
      <c r="T157" s="5">
        <v>75112561000000</v>
      </c>
      <c r="U157" s="5">
        <v>59350676000000</v>
      </c>
      <c r="V157" s="5">
        <v>49830419000000</v>
      </c>
      <c r="W157" s="5">
        <v>47778151000000</v>
      </c>
      <c r="X157" s="5">
        <v>46642900000000</v>
      </c>
      <c r="Y157" s="5">
        <v>35065389000000</v>
      </c>
      <c r="Z157" s="5">
        <v>27591162000000</v>
      </c>
    </row>
    <row r="158" spans="2:26" ht="15.5" x14ac:dyDescent="0.35">
      <c r="C158" t="s">
        <v>556</v>
      </c>
      <c r="T158" s="5">
        <v>-23186044000000</v>
      </c>
      <c r="U158" s="5">
        <v>-14883697000000</v>
      </c>
      <c r="V158" s="5">
        <v>-13147390000000</v>
      </c>
      <c r="W158" s="5">
        <v>-13684909000000</v>
      </c>
      <c r="X158" s="5">
        <v>-11719715000000</v>
      </c>
      <c r="Y158" s="5">
        <v>-12296537000000</v>
      </c>
      <c r="Z158" s="5">
        <v>-8317392000000</v>
      </c>
    </row>
    <row r="159" spans="2:26" ht="15.5" x14ac:dyDescent="0.35">
      <c r="C159" t="s">
        <v>438</v>
      </c>
      <c r="D159" s="5">
        <v>-12463608000000</v>
      </c>
      <c r="E159" s="5">
        <v>-7382063000000</v>
      </c>
      <c r="F159" s="5">
        <v>-16638410000000</v>
      </c>
      <c r="G159" s="5">
        <v>-18970545000000</v>
      </c>
      <c r="I159" s="5">
        <v>-56224677000000</v>
      </c>
      <c r="J159" s="5">
        <v>-56282443000000</v>
      </c>
      <c r="K159" s="5">
        <v>-42461798000000</v>
      </c>
      <c r="L159" s="5">
        <v>-25762613000000</v>
      </c>
      <c r="M159" s="5">
        <v>-28533680000000</v>
      </c>
      <c r="N159" s="5">
        <v>-36190771000000</v>
      </c>
      <c r="O159" s="5">
        <v>-38666742000000</v>
      </c>
      <c r="P159" s="5">
        <v>-32166798000000</v>
      </c>
      <c r="Q159" s="5">
        <v>-28319909000000</v>
      </c>
      <c r="R159" s="5">
        <v>-26038559000000</v>
      </c>
      <c r="S159" s="5">
        <v>-26101932000000</v>
      </c>
    </row>
    <row r="160" spans="2:26" ht="15.5" x14ac:dyDescent="0.35">
      <c r="C160" t="s">
        <v>534</v>
      </c>
      <c r="D160" s="5">
        <v>-430360000000</v>
      </c>
      <c r="E160" s="5">
        <v>-248188000000</v>
      </c>
      <c r="F160" s="5">
        <v>-377466000000</v>
      </c>
      <c r="G160" s="5">
        <v>-324546000000</v>
      </c>
      <c r="I160" s="5">
        <v>-1252495000000</v>
      </c>
      <c r="J160" s="5">
        <v>-993686000000</v>
      </c>
      <c r="K160" s="5">
        <v>-1161971000000</v>
      </c>
      <c r="L160" s="5">
        <v>-1008042000000</v>
      </c>
      <c r="M160" s="5">
        <v>-1293103000000</v>
      </c>
      <c r="N160" s="5">
        <v>-1531824000000</v>
      </c>
      <c r="O160" s="5">
        <v>-1377133000000</v>
      </c>
      <c r="P160" s="5">
        <v>-1375637000000</v>
      </c>
      <c r="Q160" s="5">
        <v>-1241591000000</v>
      </c>
      <c r="R160" s="5">
        <v>-1035502000000</v>
      </c>
      <c r="S160" s="5">
        <v>-1013170000000</v>
      </c>
    </row>
    <row r="161" spans="3:26" ht="15.5" x14ac:dyDescent="0.35">
      <c r="C161" t="s">
        <v>533</v>
      </c>
      <c r="D161" s="5">
        <v>-1610085000000</v>
      </c>
      <c r="E161" s="5">
        <v>-4309293000000</v>
      </c>
      <c r="F161" s="5">
        <v>-4975000000</v>
      </c>
      <c r="G161" s="5">
        <v>-387228000000</v>
      </c>
      <c r="I161" s="5">
        <v>-6322597000000</v>
      </c>
      <c r="J161" s="5">
        <v>-5547858000000</v>
      </c>
      <c r="K161" s="5">
        <v>-6549595000000</v>
      </c>
      <c r="L161" s="5">
        <v>-7359672000000</v>
      </c>
      <c r="M161" s="5">
        <v>-5946708000000</v>
      </c>
      <c r="N161" s="5">
        <v>-5327065000000</v>
      </c>
      <c r="O161" s="5">
        <v>-4363029000000</v>
      </c>
      <c r="P161" s="5">
        <v>-3232491000000</v>
      </c>
      <c r="Q161" s="5">
        <v>-3403551000000</v>
      </c>
      <c r="R161" s="5">
        <v>-2410192000000</v>
      </c>
    </row>
    <row r="162" spans="3:26" ht="15.5" x14ac:dyDescent="0.35">
      <c r="C162" t="s">
        <v>557</v>
      </c>
      <c r="D162" s="5">
        <v>-31578036000000</v>
      </c>
      <c r="E162" s="5">
        <v>-19116955000000</v>
      </c>
      <c r="F162" s="5">
        <v>-13665580000000</v>
      </c>
      <c r="G162" s="5">
        <v>-15818849000000</v>
      </c>
      <c r="I162" s="5">
        <v>-59167627000000</v>
      </c>
      <c r="J162" s="5">
        <v>-17488885000000</v>
      </c>
      <c r="K162" s="5">
        <v>-7663244000000</v>
      </c>
    </row>
    <row r="163" spans="3:26" ht="15.5" x14ac:dyDescent="0.35">
      <c r="C163" t="s">
        <v>558</v>
      </c>
      <c r="E163" s="5">
        <v>5870422000000</v>
      </c>
      <c r="F163" s="5">
        <v>-1818603000000</v>
      </c>
      <c r="G163" s="5">
        <v>-4051819000000</v>
      </c>
    </row>
    <row r="164" spans="3:26" ht="15.5" x14ac:dyDescent="0.35">
      <c r="C164" t="s">
        <v>559</v>
      </c>
      <c r="D164" s="5">
        <v>-46082089000000</v>
      </c>
      <c r="E164" s="5">
        <v>-25186077000000</v>
      </c>
      <c r="F164" s="5">
        <v>-32505034000000</v>
      </c>
      <c r="G164" s="5">
        <v>-39552987000000</v>
      </c>
      <c r="I164" s="5">
        <v>-122967396000000</v>
      </c>
      <c r="J164" s="5">
        <v>-80312872000000</v>
      </c>
      <c r="K164" s="5">
        <v>-57836608000000</v>
      </c>
      <c r="L164" s="5">
        <v>-34130327000000</v>
      </c>
      <c r="M164" s="5">
        <v>-35773491000000</v>
      </c>
      <c r="N164" s="5">
        <v>-43049660000000</v>
      </c>
      <c r="O164" s="5">
        <v>-44406904000000</v>
      </c>
      <c r="P164" s="5">
        <v>-36774926000000</v>
      </c>
      <c r="Q164" s="5">
        <v>-32965051000000</v>
      </c>
      <c r="R164" s="5">
        <v>-29484253000000</v>
      </c>
      <c r="S164" s="5">
        <v>-27115102000000</v>
      </c>
      <c r="T164" s="5">
        <v>-23186044000000</v>
      </c>
      <c r="U164" s="5">
        <v>-14883697000000</v>
      </c>
      <c r="V164" s="5">
        <v>-13147390000000</v>
      </c>
      <c r="W164" s="5">
        <v>-13684909000000</v>
      </c>
      <c r="X164" s="5">
        <v>-11719715000000</v>
      </c>
      <c r="Y164" s="5">
        <v>-12296537000000</v>
      </c>
      <c r="Z164" s="5">
        <v>-8317392000000</v>
      </c>
    </row>
    <row r="165" spans="3:26" ht="15.5" x14ac:dyDescent="0.35">
      <c r="C165" t="s">
        <v>560</v>
      </c>
      <c r="D165" s="5">
        <v>4326915000000</v>
      </c>
      <c r="E165" s="5">
        <v>5695791000000</v>
      </c>
      <c r="F165" s="5">
        <v>5072764000000</v>
      </c>
      <c r="G165" s="5">
        <v>5212746000000</v>
      </c>
      <c r="I165" s="5">
        <v>20952308000000</v>
      </c>
      <c r="J165" s="5">
        <v>25363951000000</v>
      </c>
      <c r="K165" s="5">
        <v>16833578000000</v>
      </c>
      <c r="L165" s="5">
        <v>12468321000000</v>
      </c>
      <c r="M165" s="5">
        <v>9005760000000</v>
      </c>
      <c r="N165" s="5">
        <v>7239896000000</v>
      </c>
      <c r="O165" s="5">
        <v>7065981000000</v>
      </c>
      <c r="P165" s="5">
        <v>6209437000000</v>
      </c>
      <c r="Q165" s="5">
        <v>5050713000000</v>
      </c>
      <c r="R165" s="5">
        <v>4511717000000</v>
      </c>
      <c r="S165" s="5">
        <v>2353612000000</v>
      </c>
      <c r="T165" s="5">
        <v>2112320000000</v>
      </c>
      <c r="U165" s="5">
        <v>1959521000000</v>
      </c>
      <c r="V165" s="5">
        <v>2284074000000</v>
      </c>
      <c r="W165" s="5">
        <v>1833012000000</v>
      </c>
      <c r="X165" s="5">
        <v>1525143000000</v>
      </c>
      <c r="Y165" s="5">
        <v>775150000000</v>
      </c>
      <c r="Z165" s="5">
        <v>473989000000</v>
      </c>
    </row>
    <row r="166" spans="3:26" ht="15.5" x14ac:dyDescent="0.35">
      <c r="C166" t="s">
        <v>441</v>
      </c>
      <c r="D166" s="5">
        <v>8008304000000</v>
      </c>
      <c r="E166" s="5">
        <v>9570145000000</v>
      </c>
      <c r="F166" s="5">
        <v>7552277000000</v>
      </c>
      <c r="G166" s="5">
        <v>7217288000000</v>
      </c>
      <c r="I166" s="5">
        <v>32563546000000</v>
      </c>
      <c r="J166" s="5">
        <v>27775215000000</v>
      </c>
      <c r="K166" s="5">
        <v>29267943000000</v>
      </c>
      <c r="L166" s="5">
        <v>35709608000000</v>
      </c>
      <c r="M166" s="5">
        <v>34345472000000</v>
      </c>
      <c r="N166" s="5">
        <v>25210072000000</v>
      </c>
      <c r="O166" s="5">
        <v>22213637000000</v>
      </c>
      <c r="P166" s="5">
        <v>16764733000000</v>
      </c>
      <c r="Q166" s="5">
        <v>13745727000000</v>
      </c>
      <c r="R166" s="5">
        <v>9333633000000</v>
      </c>
      <c r="S166" s="5">
        <v>9533063000000</v>
      </c>
      <c r="T166" s="5">
        <v>6640745000000</v>
      </c>
      <c r="U166" s="5">
        <v>6842840000000</v>
      </c>
      <c r="V166" s="5">
        <v>5417549000000</v>
      </c>
      <c r="W166" s="5">
        <v>3907886000000</v>
      </c>
      <c r="X166" s="5">
        <v>4019390000000</v>
      </c>
      <c r="Y166" s="5">
        <v>3269594000000</v>
      </c>
      <c r="Z166" s="5">
        <v>2787555000000</v>
      </c>
    </row>
    <row r="167" spans="3:26" ht="15.5" x14ac:dyDescent="0.35">
      <c r="C167" t="s">
        <v>449</v>
      </c>
      <c r="D167" s="5">
        <v>-23435058000000</v>
      </c>
      <c r="E167" s="5">
        <v>-15466481000000</v>
      </c>
      <c r="F167" s="5">
        <v>-22438172000000</v>
      </c>
      <c r="G167" s="5">
        <v>-20287592000000</v>
      </c>
      <c r="I167" s="5">
        <v>-80928270000000</v>
      </c>
      <c r="J167" s="5">
        <v>-84973178000000</v>
      </c>
      <c r="K167" s="5">
        <v>-75776851000000</v>
      </c>
      <c r="L167" s="5">
        <v>-78869304000000</v>
      </c>
      <c r="M167" s="5">
        <v>-73658162000000</v>
      </c>
      <c r="N167" s="5">
        <v>-49474810000000</v>
      </c>
      <c r="O167" s="5">
        <v>-46257369000000</v>
      </c>
      <c r="P167" s="5">
        <v>-42230943000000</v>
      </c>
      <c r="Q167" s="5">
        <v>-32263843000000</v>
      </c>
      <c r="R167" s="5">
        <v>-35297823000000</v>
      </c>
      <c r="S167" s="5">
        <v>-25782430000000</v>
      </c>
      <c r="T167" s="5">
        <v>-31213381000000</v>
      </c>
      <c r="U167" s="5">
        <v>-25225142000000</v>
      </c>
      <c r="V167" s="5">
        <v>-23396966000000</v>
      </c>
      <c r="W167" s="5">
        <v>-24292508000000</v>
      </c>
      <c r="X167" s="5">
        <v>-25245930000000</v>
      </c>
      <c r="Y167" s="5">
        <v>-17448759000000</v>
      </c>
      <c r="Z167" s="5">
        <v>-14254468000000</v>
      </c>
    </row>
    <row r="168" spans="3:26" ht="15.5" x14ac:dyDescent="0.35">
      <c r="C168" t="s">
        <v>561</v>
      </c>
      <c r="D168" s="5">
        <v>-104867000000</v>
      </c>
      <c r="E168" s="5">
        <v>-322789000000</v>
      </c>
      <c r="F168" s="5">
        <v>47539000000</v>
      </c>
      <c r="G168" s="5">
        <v>-35508000000</v>
      </c>
      <c r="I168" s="5">
        <v>-555267000000</v>
      </c>
      <c r="J168" s="5">
        <v>-1108735000000</v>
      </c>
      <c r="K168" s="5">
        <v>-568000000000</v>
      </c>
      <c r="L168" s="5">
        <v>-52531000000</v>
      </c>
      <c r="M168" s="5">
        <v>-203971000000</v>
      </c>
      <c r="N168" s="5">
        <v>-84532000000</v>
      </c>
      <c r="O168" s="5">
        <v>-67880000000</v>
      </c>
      <c r="P168" s="5">
        <v>27818000000</v>
      </c>
      <c r="Q168" s="5">
        <v>216325000000</v>
      </c>
      <c r="R168" s="5">
        <v>479000000</v>
      </c>
      <c r="S168" s="5">
        <v>1959483000000</v>
      </c>
      <c r="T168" s="5">
        <v>2966877000000</v>
      </c>
      <c r="U168" s="5">
        <v>2147065000000</v>
      </c>
      <c r="V168" s="5">
        <v>1162898000000</v>
      </c>
      <c r="W168" s="5">
        <v>1161176000000</v>
      </c>
      <c r="X168" s="5">
        <v>500354000000</v>
      </c>
      <c r="Y168" s="5">
        <v>1314297000000</v>
      </c>
      <c r="Z168" s="5">
        <v>472604000000</v>
      </c>
    </row>
    <row r="169" spans="3:26" ht="15.5" x14ac:dyDescent="0.35">
      <c r="C169" t="s">
        <v>145</v>
      </c>
      <c r="D169" s="5">
        <v>-1904161000000</v>
      </c>
      <c r="E169" s="5">
        <v>-340470000000</v>
      </c>
      <c r="F169" s="5">
        <v>-3722436000000</v>
      </c>
      <c r="G169" s="5">
        <v>-3121673000000</v>
      </c>
      <c r="I169" s="5">
        <v>-10543662000000</v>
      </c>
      <c r="J169" s="5">
        <v>-13742335000000</v>
      </c>
      <c r="K169" s="5">
        <v>-14279292000000</v>
      </c>
      <c r="L169" s="5">
        <v>-15762408000000</v>
      </c>
      <c r="M169" s="5">
        <v>-11164431000000</v>
      </c>
      <c r="N169" s="5">
        <v>-4953877000000</v>
      </c>
      <c r="O169" s="5">
        <v>-9357307000000</v>
      </c>
      <c r="P169" s="5">
        <v>-9668009000000</v>
      </c>
      <c r="Q169" s="5">
        <v>-9037947000000</v>
      </c>
      <c r="R169" s="5">
        <v>-6182996000000</v>
      </c>
      <c r="S169" s="5">
        <v>-7000011000000</v>
      </c>
    </row>
    <row r="170" spans="3:26" ht="15.5" x14ac:dyDescent="0.35">
      <c r="C170" t="s">
        <v>391</v>
      </c>
    </row>
    <row r="171" spans="3:26" ht="15.5" x14ac:dyDescent="0.35">
      <c r="C171" t="s">
        <v>562</v>
      </c>
    </row>
    <row r="172" spans="3:26" ht="15.5" x14ac:dyDescent="0.35">
      <c r="C172" t="s">
        <v>563</v>
      </c>
    </row>
    <row r="173" spans="3:26" ht="15.5" x14ac:dyDescent="0.35">
      <c r="C173" t="s">
        <v>564</v>
      </c>
      <c r="D173" s="5">
        <v>-870866000000</v>
      </c>
      <c r="E173" s="5">
        <v>305178000000</v>
      </c>
      <c r="F173" s="5">
        <v>-562025000000</v>
      </c>
      <c r="G173" s="5">
        <v>601787000000</v>
      </c>
      <c r="I173" s="5">
        <v>-544175000000</v>
      </c>
      <c r="J173" s="5">
        <v>1273810000000</v>
      </c>
      <c r="K173" s="5">
        <v>-505646000000</v>
      </c>
      <c r="L173" s="5">
        <v>-195110000000</v>
      </c>
      <c r="M173" s="5">
        <v>945891000000</v>
      </c>
      <c r="N173" s="5">
        <v>264550000000</v>
      </c>
      <c r="O173" s="5">
        <v>-2854149000000</v>
      </c>
      <c r="P173" s="5">
        <v>190262000000</v>
      </c>
      <c r="Q173" s="5">
        <v>-339187000000</v>
      </c>
      <c r="R173" s="5">
        <v>100000000000</v>
      </c>
      <c r="S173" s="5">
        <v>-100000000000</v>
      </c>
      <c r="T173" s="5">
        <v>2796000000</v>
      </c>
      <c r="U173" s="5">
        <v>14164442000000</v>
      </c>
      <c r="V173" s="5">
        <v>-35599843000000</v>
      </c>
      <c r="W173" s="5">
        <v>753698000000</v>
      </c>
      <c r="X173" s="5">
        <v>-816714000000</v>
      </c>
      <c r="Y173" s="5">
        <v>-17718162000000</v>
      </c>
      <c r="Z173" s="5">
        <v>-8248952000000</v>
      </c>
    </row>
    <row r="174" spans="3:26" ht="15.5" x14ac:dyDescent="0.35">
      <c r="C174" t="s">
        <v>565</v>
      </c>
      <c r="D174" s="5">
        <v>-8041849000000</v>
      </c>
      <c r="E174" s="5">
        <v>1732147000000</v>
      </c>
      <c r="F174" s="5">
        <v>-5064917000000</v>
      </c>
      <c r="G174" s="5">
        <v>5372143000000</v>
      </c>
      <c r="I174" s="5">
        <v>-1594522000000</v>
      </c>
      <c r="J174" s="5">
        <v>-976011000000</v>
      </c>
      <c r="K174" s="5">
        <v>-1277298000000</v>
      </c>
      <c r="L174" s="5">
        <v>-2114619000000</v>
      </c>
      <c r="M174" s="5">
        <v>9164531000000</v>
      </c>
      <c r="N174" s="5">
        <v>-11940401000000</v>
      </c>
      <c r="O174" s="5">
        <v>-12637154000000</v>
      </c>
      <c r="P174" s="5">
        <v>-2566448000000</v>
      </c>
      <c r="Q174" s="5">
        <v>-702255000000</v>
      </c>
      <c r="R174" s="5">
        <v>254367000000</v>
      </c>
      <c r="S174" s="5">
        <v>-800992000000</v>
      </c>
      <c r="T174" s="5">
        <v>882059000000</v>
      </c>
      <c r="U174" s="5">
        <v>-397415000000</v>
      </c>
      <c r="V174" s="5">
        <v>-2987198000000</v>
      </c>
      <c r="W174" s="5">
        <v>-4422876000000</v>
      </c>
      <c r="Y174" s="5">
        <v>857613000000</v>
      </c>
      <c r="Z174" s="5">
        <v>-3042849000000</v>
      </c>
    </row>
    <row r="175" spans="3:26" ht="15.5" x14ac:dyDescent="0.35">
      <c r="C175" t="s">
        <v>566</v>
      </c>
      <c r="X175" s="5">
        <v>-6711511000000</v>
      </c>
    </row>
    <row r="176" spans="3:26" ht="15.5" x14ac:dyDescent="0.35">
      <c r="C176" t="s">
        <v>567</v>
      </c>
      <c r="D176" s="5">
        <v>3806686000000</v>
      </c>
      <c r="E176" s="5">
        <v>-3710239000000</v>
      </c>
      <c r="F176" s="5">
        <v>13889567000000</v>
      </c>
      <c r="G176" s="5">
        <v>-5763614000000</v>
      </c>
      <c r="I176" s="5">
        <v>-7595261000000</v>
      </c>
      <c r="J176" s="5">
        <v>13473275000000</v>
      </c>
      <c r="K176" s="5">
        <v>-14828029000000</v>
      </c>
      <c r="L176" s="5">
        <v>-9403150000000</v>
      </c>
      <c r="M176" s="5">
        <v>-2091221000000</v>
      </c>
      <c r="N176" s="5">
        <v>6744495000000</v>
      </c>
      <c r="O176" s="5">
        <v>-6301831000000</v>
      </c>
      <c r="P176" s="5">
        <v>-16788338000000</v>
      </c>
      <c r="Q176" s="5">
        <v>3721755000000</v>
      </c>
      <c r="R176" s="5">
        <v>-2064589000000</v>
      </c>
      <c r="S176" s="5">
        <v>3247102000000</v>
      </c>
      <c r="T176" s="5">
        <v>-1601913000000</v>
      </c>
      <c r="U176" s="5">
        <v>-2991300000000</v>
      </c>
      <c r="V176" s="5">
        <v>-1106203000000</v>
      </c>
      <c r="W176" s="5">
        <v>-4086814000000</v>
      </c>
      <c r="X176" s="5">
        <v>-190585000000</v>
      </c>
      <c r="Y176" s="5">
        <v>10537000000</v>
      </c>
      <c r="Z176" s="5">
        <v>34584000000</v>
      </c>
    </row>
    <row r="177" spans="3:26" ht="15.5" x14ac:dyDescent="0.35">
      <c r="C177" t="s">
        <v>568</v>
      </c>
      <c r="D177" s="5">
        <v>-5698665000000</v>
      </c>
      <c r="E177" s="5">
        <v>743709000000</v>
      </c>
      <c r="F177" s="5">
        <v>2857958000000</v>
      </c>
      <c r="G177" s="5">
        <v>6234252000000</v>
      </c>
      <c r="I177" s="5">
        <v>16821238000000</v>
      </c>
      <c r="J177" s="5">
        <v>16749541000000</v>
      </c>
      <c r="K177" s="5">
        <v>17419447000000</v>
      </c>
      <c r="L177" s="5">
        <v>3900820000000</v>
      </c>
      <c r="M177" s="5">
        <v>-8096930000000</v>
      </c>
      <c r="N177" s="5">
        <v>-24236324000000</v>
      </c>
      <c r="O177" s="5">
        <v>-13185691000000</v>
      </c>
      <c r="P177" s="5">
        <v>8614473000000</v>
      </c>
      <c r="Q177" s="5">
        <v>-16453656000000</v>
      </c>
      <c r="R177" s="5">
        <v>-712245000000</v>
      </c>
      <c r="S177" s="5">
        <v>38158470000000</v>
      </c>
      <c r="T177" s="5">
        <v>-24563532000000</v>
      </c>
      <c r="U177" s="5">
        <v>-4889542000000</v>
      </c>
      <c r="V177" s="5">
        <v>-167223000000</v>
      </c>
      <c r="X177" s="5">
        <v>-1686098000000</v>
      </c>
      <c r="Y177" s="5">
        <v>-212145000000</v>
      </c>
      <c r="Z177" s="5">
        <v>-1584097000000</v>
      </c>
    </row>
    <row r="178" spans="3:26" ht="15.5" x14ac:dyDescent="0.35">
      <c r="C178" t="s">
        <v>569</v>
      </c>
      <c r="T178" s="5">
        <v>4445000000</v>
      </c>
      <c r="U178" s="5">
        <v>23869000000</v>
      </c>
      <c r="V178" s="5">
        <v>-11032000000</v>
      </c>
      <c r="W178" s="5">
        <v>70052000000</v>
      </c>
      <c r="X178" s="5">
        <v>57051000000</v>
      </c>
      <c r="Y178" s="5">
        <v>-144908000000</v>
      </c>
      <c r="Z178" s="5">
        <v>24711000000</v>
      </c>
    </row>
    <row r="179" spans="3:26" ht="15.5" x14ac:dyDescent="0.35">
      <c r="C179" t="s">
        <v>492</v>
      </c>
      <c r="D179" s="5">
        <v>-46277318000000</v>
      </c>
      <c r="E179" s="5">
        <v>-91340189000000</v>
      </c>
      <c r="F179" s="5">
        <v>-31814400000000</v>
      </c>
      <c r="G179" s="5">
        <v>-53517263000000</v>
      </c>
      <c r="I179" s="5">
        <v>-203205917000000</v>
      </c>
      <c r="J179" s="5">
        <v>-127686861000000</v>
      </c>
      <c r="K179" s="5">
        <v>-152128249000000</v>
      </c>
      <c r="L179" s="5">
        <v>-106917972000000</v>
      </c>
      <c r="M179" s="5">
        <v>-68377027000000</v>
      </c>
      <c r="N179" s="5">
        <v>-35685632000000</v>
      </c>
      <c r="O179" s="5">
        <v>-74427400000000</v>
      </c>
      <c r="P179" s="5">
        <v>-113206894000000</v>
      </c>
      <c r="Q179" s="5">
        <v>-85060312000000</v>
      </c>
      <c r="R179" s="5">
        <v>-87463887000000</v>
      </c>
      <c r="S179" s="5">
        <v>-77198420000000</v>
      </c>
      <c r="T179" s="5">
        <v>-66400256000000</v>
      </c>
      <c r="U179" s="5">
        <v>-87876065000000</v>
      </c>
      <c r="V179" s="5">
        <v>-69799516000000</v>
      </c>
      <c r="W179" s="5">
        <v>-38442018000000</v>
      </c>
      <c r="X179" s="5">
        <v>-41441844000000</v>
      </c>
      <c r="Y179" s="5">
        <v>-45413711000000</v>
      </c>
      <c r="Z179" s="5">
        <v>-49011423000000</v>
      </c>
    </row>
    <row r="180" spans="3:26" ht="15.5" x14ac:dyDescent="0.35">
      <c r="C180" t="s">
        <v>570</v>
      </c>
      <c r="E180" s="5">
        <v>-10658658000000</v>
      </c>
      <c r="I180" s="5">
        <v>-10658658000000</v>
      </c>
      <c r="J180" s="5">
        <v>-4133183000000</v>
      </c>
    </row>
    <row r="181" spans="3:26" ht="15.5" x14ac:dyDescent="0.35">
      <c r="C181" t="s">
        <v>571</v>
      </c>
      <c r="D181" s="5">
        <v>-5097810000000</v>
      </c>
      <c r="E181" s="5">
        <v>8007029000000</v>
      </c>
      <c r="F181" s="5">
        <v>-979113000000</v>
      </c>
      <c r="G181" s="5">
        <v>-1297761000000</v>
      </c>
      <c r="I181" s="5">
        <v>2027451000000</v>
      </c>
      <c r="J181" s="5">
        <v>1479857000000</v>
      </c>
      <c r="K181" s="5">
        <v>-3335688000000</v>
      </c>
      <c r="L181" s="5">
        <v>-1354828000000</v>
      </c>
      <c r="M181" s="5">
        <v>39905977000000</v>
      </c>
      <c r="N181" s="5">
        <v>-13149476000000</v>
      </c>
      <c r="O181" s="5">
        <v>-6025669000000</v>
      </c>
      <c r="P181" s="5">
        <v>-2600698000000</v>
      </c>
      <c r="Q181" s="5">
        <v>-258240000000</v>
      </c>
      <c r="R181" s="5">
        <v>-1254192000000</v>
      </c>
      <c r="S181" s="5">
        <v>-1156677000000</v>
      </c>
      <c r="T181" s="5">
        <v>-1616217000000</v>
      </c>
      <c r="U181" s="5">
        <v>-2785166000000</v>
      </c>
      <c r="V181" s="5">
        <v>-2165254000000</v>
      </c>
      <c r="W181" s="5">
        <v>-3583747000000</v>
      </c>
      <c r="X181" s="5">
        <v>-2924794000000</v>
      </c>
      <c r="Y181" s="5">
        <v>-1600765000000</v>
      </c>
      <c r="Z181" s="5">
        <v>134738000000</v>
      </c>
    </row>
    <row r="182" spans="3:26" ht="15.5" x14ac:dyDescent="0.35">
      <c r="C182" t="s">
        <v>572</v>
      </c>
      <c r="D182" s="5">
        <v>242987000000</v>
      </c>
      <c r="E182" s="5">
        <v>-1567190000000</v>
      </c>
      <c r="F182" s="5">
        <v>621015000000</v>
      </c>
      <c r="G182" s="5">
        <v>545194000000</v>
      </c>
      <c r="K182" s="5">
        <v>-5720404000000</v>
      </c>
      <c r="L182" s="5">
        <v>-9996487000000</v>
      </c>
      <c r="M182" s="5">
        <v>-11951573000000</v>
      </c>
      <c r="N182" s="5">
        <v>572372000000</v>
      </c>
      <c r="O182" s="5">
        <v>-803779000000</v>
      </c>
      <c r="P182" s="5">
        <v>-949203000000</v>
      </c>
      <c r="Q182" s="5">
        <v>-305667000000</v>
      </c>
      <c r="R182" s="5">
        <v>-2214946000000</v>
      </c>
    </row>
    <row r="183" spans="3:26" ht="15.5" x14ac:dyDescent="0.35">
      <c r="C183" t="s">
        <v>489</v>
      </c>
    </row>
    <row r="184" spans="3:26" ht="15.5" x14ac:dyDescent="0.35">
      <c r="C184" t="s">
        <v>103</v>
      </c>
    </row>
    <row r="185" spans="3:26" ht="15.5" x14ac:dyDescent="0.35">
      <c r="C185" t="s">
        <v>573</v>
      </c>
    </row>
    <row r="186" spans="3:26" ht="15.5" x14ac:dyDescent="0.35">
      <c r="C186" t="s">
        <v>496</v>
      </c>
      <c r="D186" s="5">
        <v>27248174000000</v>
      </c>
      <c r="E186" s="5">
        <v>-16898926000000</v>
      </c>
      <c r="F186" s="5">
        <v>1304503000000</v>
      </c>
      <c r="G186" s="5">
        <v>34234491000000</v>
      </c>
      <c r="I186" s="5">
        <v>-1213587000000</v>
      </c>
      <c r="J186" s="5">
        <v>1562240000000</v>
      </c>
      <c r="K186" s="5">
        <v>-16170249000000</v>
      </c>
      <c r="L186" s="5">
        <v>-2941947000000</v>
      </c>
      <c r="M186" s="5">
        <v>1422631000000</v>
      </c>
      <c r="N186" s="5">
        <v>-11322226000000</v>
      </c>
      <c r="O186" s="5">
        <v>6785221000000</v>
      </c>
      <c r="P186" s="5">
        <v>4631594000000</v>
      </c>
      <c r="Q186" s="5">
        <v>-11728077000000</v>
      </c>
      <c r="R186" s="5">
        <v>-662511000000</v>
      </c>
      <c r="S186" s="5">
        <v>-2388153000000</v>
      </c>
      <c r="T186" s="5">
        <v>-1487503000000</v>
      </c>
      <c r="U186" s="5">
        <v>124624000000</v>
      </c>
      <c r="V186" s="5">
        <v>-4014473000000</v>
      </c>
      <c r="W186" s="5">
        <v>-1541889000000</v>
      </c>
      <c r="X186" s="5">
        <v>547943000000</v>
      </c>
      <c r="Y186" s="5">
        <v>1541853000000</v>
      </c>
      <c r="Z186" s="5">
        <v>-3373184000000</v>
      </c>
    </row>
    <row r="187" spans="3:26" ht="15.5" x14ac:dyDescent="0.35">
      <c r="C187" t="s">
        <v>574</v>
      </c>
      <c r="D187" s="5">
        <v>-34688661000000</v>
      </c>
      <c r="E187" s="5">
        <v>-113387139000000</v>
      </c>
      <c r="F187" s="5">
        <v>-19747412000000</v>
      </c>
      <c r="G187" s="5">
        <v>-13590771000000</v>
      </c>
      <c r="I187" s="5">
        <v>-205963431000000</v>
      </c>
      <c r="J187" s="5">
        <v>-98257332000000</v>
      </c>
      <c r="K187" s="5">
        <v>-176546116000000</v>
      </c>
      <c r="L187" s="5">
        <v>-129023293000000</v>
      </c>
      <c r="M187" s="5">
        <v>-39077721000000</v>
      </c>
      <c r="N187" s="5">
        <v>-88752642000000</v>
      </c>
      <c r="O187" s="5">
        <v>-109450452000000</v>
      </c>
      <c r="P187" s="5">
        <v>-122675252000000</v>
      </c>
      <c r="Q187" s="5">
        <v>-111125639000000</v>
      </c>
      <c r="R187" s="5">
        <v>-94018003000000</v>
      </c>
      <c r="S187" s="5">
        <v>-40238670000000</v>
      </c>
      <c r="T187" s="5">
        <v>-94780121000000</v>
      </c>
      <c r="U187" s="5">
        <v>-84626553000000</v>
      </c>
      <c r="V187" s="5">
        <v>-115850742000000</v>
      </c>
      <c r="W187" s="5">
        <v>-51253594000000</v>
      </c>
      <c r="X187" s="5">
        <v>-53166552000000</v>
      </c>
      <c r="Y187" s="5">
        <v>-62679688000000</v>
      </c>
      <c r="Z187" s="5">
        <v>-65066472000000</v>
      </c>
    </row>
    <row r="188" spans="3:26" ht="15.5" x14ac:dyDescent="0.35">
      <c r="C188" t="s">
        <v>575</v>
      </c>
    </row>
    <row r="189" spans="3:26" ht="15.5" x14ac:dyDescent="0.35">
      <c r="C189" t="s">
        <v>467</v>
      </c>
      <c r="D189" s="5">
        <v>-19336083000000</v>
      </c>
      <c r="E189" s="5">
        <v>13482676000000</v>
      </c>
      <c r="F189" s="5">
        <v>-2096292000000</v>
      </c>
      <c r="G189" s="5">
        <v>-28606599000000</v>
      </c>
      <c r="I189" s="5">
        <v>2997084000000</v>
      </c>
      <c r="J189" s="5">
        <v>6169854000000</v>
      </c>
      <c r="K189" s="5">
        <v>5741228000000</v>
      </c>
      <c r="L189" s="5">
        <v>6175192000000</v>
      </c>
      <c r="M189" s="5">
        <v>3261813000000</v>
      </c>
      <c r="N189" s="5">
        <v>4296598000000</v>
      </c>
      <c r="O189" s="5">
        <v>-913645000000</v>
      </c>
      <c r="P189" s="5">
        <v>1878757000000</v>
      </c>
      <c r="Q189" s="5">
        <v>1153159000000</v>
      </c>
      <c r="R189" s="5">
        <v>264342000000</v>
      </c>
      <c r="S189" s="5">
        <v>-1899903000000</v>
      </c>
      <c r="T189" s="5">
        <v>1928408000000</v>
      </c>
      <c r="U189" s="5">
        <v>143863000000</v>
      </c>
      <c r="V189" s="5">
        <v>1240892000000</v>
      </c>
      <c r="W189" s="5">
        <v>-167523000000</v>
      </c>
      <c r="X189" s="5">
        <v>560071000000</v>
      </c>
      <c r="Y189" s="5">
        <v>-1305607000000</v>
      </c>
      <c r="Z189" s="5">
        <v>1621694000000</v>
      </c>
    </row>
    <row r="190" spans="3:26" ht="15.5" x14ac:dyDescent="0.35">
      <c r="C190" t="s">
        <v>576</v>
      </c>
    </row>
    <row r="191" spans="3:26" ht="15.5" x14ac:dyDescent="0.35">
      <c r="C191" t="s">
        <v>577</v>
      </c>
      <c r="D191" s="5">
        <v>4662669000000</v>
      </c>
      <c r="E191" s="5">
        <v>13132418000000</v>
      </c>
      <c r="F191" s="5">
        <v>20588738000000</v>
      </c>
      <c r="G191" s="5">
        <v>22869438000000</v>
      </c>
      <c r="I191" s="5">
        <v>73649330000000</v>
      </c>
      <c r="J191" s="5">
        <v>28429968000000</v>
      </c>
      <c r="K191" s="5">
        <v>-3631218000000</v>
      </c>
      <c r="L191" s="5">
        <v>129165393000000</v>
      </c>
      <c r="M191" s="5">
        <v>35741846000000</v>
      </c>
      <c r="N191" s="5">
        <v>16325094000000</v>
      </c>
      <c r="O191" s="5">
        <v>-9271846000000</v>
      </c>
      <c r="P191" s="5">
        <v>32568814000000</v>
      </c>
      <c r="Q191" s="5">
        <v>4110148000000</v>
      </c>
      <c r="R191" s="5">
        <v>27989677000000</v>
      </c>
      <c r="S191" s="5">
        <v>23999076000000</v>
      </c>
      <c r="T191" s="5">
        <v>10764203000000</v>
      </c>
      <c r="U191" s="5">
        <v>-385250000000</v>
      </c>
      <c r="V191" s="5">
        <v>3140314000000</v>
      </c>
      <c r="W191" s="5">
        <v>-785798000000</v>
      </c>
      <c r="X191" s="5">
        <v>27083781000000</v>
      </c>
      <c r="Y191" s="5">
        <v>10116911000000</v>
      </c>
      <c r="Z191" s="5">
        <v>2727538000000</v>
      </c>
    </row>
    <row r="192" spans="3:26" ht="15.5" x14ac:dyDescent="0.35">
      <c r="C192" t="s">
        <v>578</v>
      </c>
      <c r="M192" s="5">
        <v>-6258078000000</v>
      </c>
      <c r="N192" s="5">
        <v>4282336000000</v>
      </c>
      <c r="O192" s="5">
        <v>-256984000000</v>
      </c>
      <c r="P192" s="5">
        <v>510949000000</v>
      </c>
      <c r="Q192" s="5">
        <v>639058000000</v>
      </c>
      <c r="R192" s="5">
        <v>190098000000</v>
      </c>
      <c r="S192" s="5">
        <v>315832000000</v>
      </c>
      <c r="T192" s="5">
        <v>-48974000000</v>
      </c>
      <c r="U192" s="5">
        <v>-913000000</v>
      </c>
      <c r="V192" s="5">
        <v>155971000000</v>
      </c>
      <c r="W192" s="5">
        <v>200050000000</v>
      </c>
      <c r="X192" s="5">
        <v>186482000000</v>
      </c>
      <c r="Y192" s="5">
        <v>54298000000</v>
      </c>
      <c r="Z192" s="5">
        <v>33672000000</v>
      </c>
    </row>
    <row r="193" spans="3:26" ht="15.5" x14ac:dyDescent="0.35">
      <c r="C193" t="s">
        <v>579</v>
      </c>
      <c r="P193" s="5">
        <v>153729000000</v>
      </c>
      <c r="Q193" s="5">
        <v>139535000000</v>
      </c>
    </row>
    <row r="194" spans="3:26" ht="15.5" x14ac:dyDescent="0.35">
      <c r="C194" t="s">
        <v>580</v>
      </c>
      <c r="D194" s="5">
        <v>18166607000000</v>
      </c>
      <c r="E194" s="5">
        <v>25034736000000</v>
      </c>
      <c r="F194" s="5">
        <v>6088138000000</v>
      </c>
      <c r="G194" s="5">
        <v>13126096000000</v>
      </c>
      <c r="I194" s="5">
        <v>43158915000000</v>
      </c>
      <c r="J194" s="5">
        <v>16481397000000</v>
      </c>
      <c r="K194" s="5">
        <v>5297630000000</v>
      </c>
      <c r="L194" s="5">
        <v>24971180000000</v>
      </c>
      <c r="M194" s="5">
        <v>37005372000000</v>
      </c>
      <c r="N194" s="5">
        <v>55098105000000</v>
      </c>
      <c r="O194" s="5">
        <v>25436778000000</v>
      </c>
      <c r="P194" s="5">
        <v>36497967000000</v>
      </c>
      <c r="Q194" s="5">
        <v>45310331000000</v>
      </c>
      <c r="R194" s="5">
        <v>30051541000000</v>
      </c>
      <c r="S194" s="5">
        <v>35336346000000</v>
      </c>
      <c r="T194" s="5">
        <v>22487836000000</v>
      </c>
      <c r="U194" s="5">
        <v>27401097000000</v>
      </c>
      <c r="V194" s="5">
        <v>29838227000000</v>
      </c>
      <c r="W194" s="5">
        <v>27445940000000</v>
      </c>
      <c r="X194" s="5">
        <v>21078783000000</v>
      </c>
      <c r="Y194" s="5">
        <v>16282534000000</v>
      </c>
      <c r="Z194" s="5">
        <v>15730375000000</v>
      </c>
    </row>
    <row r="195" spans="3:26" ht="15.5" x14ac:dyDescent="0.35">
      <c r="C195" t="s">
        <v>581</v>
      </c>
      <c r="M195" s="5">
        <v>-9247604000000</v>
      </c>
      <c r="N195" s="5">
        <v>2295916000000</v>
      </c>
      <c r="O195" s="5">
        <v>1349877000000</v>
      </c>
      <c r="P195" s="5">
        <v>852159000000</v>
      </c>
      <c r="Q195" s="5">
        <v>572891000000</v>
      </c>
      <c r="R195" s="5">
        <v>460832000000</v>
      </c>
      <c r="S195" s="5">
        <v>417270000000</v>
      </c>
      <c r="T195" s="5">
        <v>818105000000</v>
      </c>
      <c r="U195" s="5">
        <v>792076000000</v>
      </c>
      <c r="V195" s="5">
        <v>301754000000</v>
      </c>
      <c r="W195" s="5">
        <v>648497000000</v>
      </c>
      <c r="X195" s="5">
        <v>424427000000</v>
      </c>
      <c r="Y195" s="5">
        <v>313800000000</v>
      </c>
    </row>
    <row r="196" spans="3:26" ht="15.5" x14ac:dyDescent="0.35">
      <c r="C196" t="s">
        <v>582</v>
      </c>
      <c r="P196" s="5">
        <v>388625000000</v>
      </c>
      <c r="Q196" s="5">
        <v>287363000000</v>
      </c>
      <c r="R196" s="5">
        <v>286923000000</v>
      </c>
      <c r="S196" s="5">
        <v>322382000000</v>
      </c>
      <c r="T196" s="5">
        <v>92428000000</v>
      </c>
      <c r="U196" s="5">
        <v>86103000000</v>
      </c>
      <c r="V196" s="5">
        <v>92495000000</v>
      </c>
      <c r="W196" s="5">
        <v>48785000000</v>
      </c>
      <c r="X196" s="5">
        <v>23274000000</v>
      </c>
      <c r="Y196" s="5">
        <v>-209827000000</v>
      </c>
      <c r="Z196" s="5">
        <v>46457000000</v>
      </c>
    </row>
    <row r="197" spans="3:26" ht="15.5" x14ac:dyDescent="0.35">
      <c r="C197" t="s">
        <v>583</v>
      </c>
      <c r="P197" s="5">
        <v>644468000000</v>
      </c>
      <c r="Q197" s="5">
        <v>2682191000000</v>
      </c>
      <c r="R197" s="5">
        <v>1406950000000</v>
      </c>
      <c r="S197" s="5">
        <v>1855767000000</v>
      </c>
      <c r="T197" s="5">
        <v>2055088000000</v>
      </c>
      <c r="U197" s="5">
        <v>1903357000000</v>
      </c>
      <c r="V197" s="5">
        <v>1113021000000</v>
      </c>
      <c r="W197" s="5">
        <v>3357077000000</v>
      </c>
      <c r="X197" s="5">
        <v>2652102000000</v>
      </c>
      <c r="Y197" s="5">
        <v>1119483000000</v>
      </c>
      <c r="Z197" s="5">
        <v>-26107000000</v>
      </c>
    </row>
    <row r="198" spans="3:26" ht="15.5" x14ac:dyDescent="0.35">
      <c r="C198" t="s">
        <v>584</v>
      </c>
      <c r="D198" s="5">
        <v>88280574000000</v>
      </c>
      <c r="E198" s="5">
        <v>-7939525000000</v>
      </c>
      <c r="F198" s="5">
        <v>-7336613000000</v>
      </c>
      <c r="G198" s="5">
        <v>60519873000000</v>
      </c>
      <c r="I198" s="5">
        <v>101393735000000</v>
      </c>
      <c r="J198" s="5">
        <v>7121343000000</v>
      </c>
      <c r="K198" s="5">
        <v>50444748000000</v>
      </c>
      <c r="L198" s="5">
        <v>169140797000000</v>
      </c>
      <c r="M198" s="5">
        <v>51318265000000</v>
      </c>
      <c r="N198" s="5">
        <v>91177348000000</v>
      </c>
      <c r="O198" s="5">
        <v>73067964000000</v>
      </c>
      <c r="P198" s="5">
        <v>102612288000000</v>
      </c>
      <c r="Q198" s="5">
        <v>87130076000000</v>
      </c>
      <c r="R198" s="5">
        <v>85530995000000</v>
      </c>
      <c r="S198" s="5">
        <v>46673533000000</v>
      </c>
      <c r="T198" s="5">
        <v>118040464000000</v>
      </c>
      <c r="U198" s="5">
        <v>54114999000000</v>
      </c>
      <c r="V198" s="5">
        <v>65902038000000</v>
      </c>
      <c r="W198" s="5">
        <v>50611945000000</v>
      </c>
      <c r="X198" s="5">
        <v>77724136000000</v>
      </c>
      <c r="Y198" s="5">
        <v>54390822000000</v>
      </c>
      <c r="Z198" s="5">
        <v>35937456000000</v>
      </c>
    </row>
    <row r="199" spans="3:26" ht="15.5" x14ac:dyDescent="0.35">
      <c r="C199" t="s">
        <v>585</v>
      </c>
      <c r="D199" s="5">
        <v>3338240000000</v>
      </c>
      <c r="E199" s="5">
        <v>711599000000</v>
      </c>
      <c r="F199" s="5">
        <v>5928165000000</v>
      </c>
      <c r="G199" s="5">
        <v>347875000000</v>
      </c>
      <c r="I199" s="5">
        <v>2921954000000</v>
      </c>
      <c r="J199" s="5">
        <v>2721163000000</v>
      </c>
      <c r="K199" s="5">
        <v>2623772000000</v>
      </c>
      <c r="L199" s="5">
        <v>-3994882000000</v>
      </c>
      <c r="M199" s="5">
        <v>-10456563000000</v>
      </c>
      <c r="N199" s="5">
        <v>5816167000000</v>
      </c>
      <c r="O199" s="5">
        <v>8838671000000</v>
      </c>
      <c r="P199" s="5">
        <v>3537792000000</v>
      </c>
      <c r="Q199" s="5">
        <v>3363829000000</v>
      </c>
      <c r="R199" s="5">
        <v>-8935535000000</v>
      </c>
      <c r="S199" s="5">
        <v>2509681000000</v>
      </c>
      <c r="T199" s="5">
        <v>4964172000000</v>
      </c>
      <c r="U199" s="5">
        <v>912602000000</v>
      </c>
      <c r="V199" s="5">
        <v>-1245545000000</v>
      </c>
      <c r="W199" s="5">
        <v>-1136152000000</v>
      </c>
      <c r="X199" s="5">
        <v>710408000000</v>
      </c>
      <c r="Y199" s="5">
        <v>1021664000000</v>
      </c>
      <c r="Z199" s="5">
        <v>1817211000000</v>
      </c>
    </row>
    <row r="200" spans="3:26" ht="15.5" x14ac:dyDescent="0.35">
      <c r="C200" t="s">
        <v>374</v>
      </c>
      <c r="M200" s="5">
        <v>-208079000000</v>
      </c>
      <c r="T200" s="5">
        <v>-847579000000</v>
      </c>
      <c r="U200" s="5">
        <v>1412909000000</v>
      </c>
      <c r="V200" s="5">
        <v>-21343000000</v>
      </c>
      <c r="W200" s="5">
        <v>91734000000</v>
      </c>
      <c r="X200" s="5">
        <v>-195501000000</v>
      </c>
      <c r="Y200" s="5">
        <v>-1036374000000</v>
      </c>
      <c r="Z200" s="5">
        <v>1132754000000</v>
      </c>
    </row>
    <row r="201" spans="3:26" ht="15.5" x14ac:dyDescent="0.35">
      <c r="C201" t="s">
        <v>586</v>
      </c>
      <c r="D201" s="5">
        <v>-4419648000000</v>
      </c>
      <c r="E201" s="5">
        <v>-12599244000000</v>
      </c>
      <c r="F201" s="5">
        <v>19520965000000</v>
      </c>
      <c r="G201" s="5">
        <v>-43584321000000</v>
      </c>
      <c r="I201" s="5">
        <v>2889032000000</v>
      </c>
      <c r="J201" s="5">
        <v>5964259000000</v>
      </c>
      <c r="K201" s="5">
        <v>9081866000000</v>
      </c>
      <c r="L201" s="5">
        <v>-19410916000000</v>
      </c>
      <c r="M201" s="5">
        <v>-11070164000000</v>
      </c>
      <c r="N201" s="5">
        <v>-9424266000000</v>
      </c>
      <c r="O201" s="5">
        <v>12523543000000</v>
      </c>
      <c r="P201" s="5">
        <v>25242710000000</v>
      </c>
      <c r="Q201" s="5">
        <v>4834286000000</v>
      </c>
      <c r="R201" s="5">
        <v>-4075560000000</v>
      </c>
      <c r="S201" s="5">
        <v>-4434003000000</v>
      </c>
      <c r="T201" s="5">
        <v>15456092000000</v>
      </c>
      <c r="V201" s="5">
        <v>-102681000000</v>
      </c>
      <c r="W201" s="5">
        <v>-423684000000</v>
      </c>
      <c r="X201" s="5">
        <v>-18099000000</v>
      </c>
      <c r="Y201" s="5">
        <v>441712000000</v>
      </c>
      <c r="Z201" s="5">
        <v>71000000</v>
      </c>
    </row>
    <row r="202" spans="3:26" ht="15.5" x14ac:dyDescent="0.35">
      <c r="C202" t="s">
        <v>505</v>
      </c>
      <c r="D202" s="5">
        <v>-3075863000000</v>
      </c>
      <c r="E202" s="5">
        <v>-6227725000000</v>
      </c>
      <c r="F202" s="5">
        <v>3491873000000</v>
      </c>
      <c r="G202" s="5">
        <v>22764000000</v>
      </c>
      <c r="I202" s="5">
        <v>1040508000000</v>
      </c>
      <c r="J202" s="5">
        <v>-4645149000000</v>
      </c>
      <c r="K202" s="5">
        <v>7072077000000</v>
      </c>
      <c r="L202" s="5">
        <v>5698879000000</v>
      </c>
      <c r="M202" s="5">
        <v>235264000000</v>
      </c>
      <c r="N202" s="5">
        <v>291044000000</v>
      </c>
      <c r="O202" s="5">
        <v>1252567000000</v>
      </c>
      <c r="P202" s="5">
        <v>2673187000000</v>
      </c>
      <c r="Q202" s="5">
        <v>2418063000000</v>
      </c>
      <c r="R202" s="5">
        <v>3417378000000</v>
      </c>
      <c r="S202" s="5">
        <v>3963481000000</v>
      </c>
      <c r="T202" s="5">
        <v>-1371878000000</v>
      </c>
      <c r="U202" s="5">
        <v>-2639539000000</v>
      </c>
      <c r="V202" s="5">
        <v>3559568000000</v>
      </c>
      <c r="W202" s="5">
        <v>1125856000000</v>
      </c>
      <c r="X202" s="5">
        <v>3476865000000</v>
      </c>
      <c r="Y202" s="5">
        <v>-4967000000</v>
      </c>
      <c r="Z202" s="5">
        <v>6083000000</v>
      </c>
    </row>
    <row r="203" spans="3:26" ht="15.5" x14ac:dyDescent="0.35">
      <c r="C203" t="s">
        <v>587</v>
      </c>
      <c r="D203" s="5">
        <v>64787220000000</v>
      </c>
      <c r="E203" s="5">
        <v>-12572219000000</v>
      </c>
      <c r="F203" s="5">
        <v>19508098000000</v>
      </c>
      <c r="G203" s="5">
        <v>-11300408000000</v>
      </c>
      <c r="I203" s="5">
        <v>111242313000000</v>
      </c>
      <c r="J203" s="5">
        <v>17331470000000</v>
      </c>
      <c r="K203" s="5">
        <v>74963691000000</v>
      </c>
      <c r="L203" s="5">
        <v>157609070000000</v>
      </c>
      <c r="M203" s="5">
        <v>33080536000000</v>
      </c>
      <c r="N203" s="5">
        <v>92156891000000</v>
      </c>
      <c r="O203" s="5">
        <v>94769100000000</v>
      </c>
      <c r="P203" s="5">
        <v>135944734000000</v>
      </c>
      <c r="Q203" s="5">
        <v>98899413000000</v>
      </c>
      <c r="R203" s="5">
        <v>76201620000000</v>
      </c>
      <c r="S203" s="5">
        <v>46812789000000</v>
      </c>
      <c r="T203" s="5">
        <v>138169679000000</v>
      </c>
      <c r="U203" s="5">
        <v>53944834000000</v>
      </c>
      <c r="V203" s="5">
        <v>69332929000000</v>
      </c>
      <c r="W203" s="5">
        <v>50102176000000</v>
      </c>
      <c r="X203" s="5">
        <v>82257880000000</v>
      </c>
      <c r="Y203" s="5">
        <v>53507250000000</v>
      </c>
      <c r="Z203" s="5">
        <v>40515269000000</v>
      </c>
    </row>
    <row r="204" spans="3:26" ht="15.5" x14ac:dyDescent="0.35">
      <c r="C204" t="s">
        <v>588</v>
      </c>
      <c r="M204" s="5">
        <v>-33496976000000</v>
      </c>
      <c r="N204" s="5">
        <v>8728142000000</v>
      </c>
      <c r="O204" s="5">
        <v>3859957000000</v>
      </c>
    </row>
    <row r="205" spans="3:26" ht="15.5" x14ac:dyDescent="0.35">
      <c r="C205" t="s">
        <v>589</v>
      </c>
      <c r="D205" s="5">
        <v>30098559000000</v>
      </c>
      <c r="E205" s="5">
        <v>-125959358000000</v>
      </c>
      <c r="F205" s="5">
        <v>-239314000000</v>
      </c>
      <c r="G205" s="5">
        <v>-24891179000000</v>
      </c>
      <c r="I205" s="5">
        <v>-94721118000000</v>
      </c>
      <c r="J205" s="5">
        <v>-80925862000000</v>
      </c>
      <c r="K205" s="5">
        <v>-101582425000000</v>
      </c>
      <c r="L205" s="5">
        <v>28585777000000</v>
      </c>
      <c r="M205" s="5">
        <v>-39494161000000</v>
      </c>
      <c r="N205" s="5">
        <v>12132391000000</v>
      </c>
      <c r="O205" s="5">
        <v>-10821395000000</v>
      </c>
      <c r="P205" s="5">
        <v>13269482000000</v>
      </c>
      <c r="Q205" s="5">
        <v>-12226226000000</v>
      </c>
      <c r="R205" s="5">
        <v>-17816383000000</v>
      </c>
      <c r="S205" s="5">
        <v>6574119000000</v>
      </c>
      <c r="T205" s="5">
        <v>43389558000000</v>
      </c>
      <c r="U205" s="5">
        <v>-30681719000000</v>
      </c>
      <c r="V205" s="5">
        <v>-46517813000000</v>
      </c>
      <c r="W205" s="5">
        <v>-1151418000000</v>
      </c>
      <c r="X205" s="5">
        <v>29091328000000</v>
      </c>
      <c r="Y205" s="5">
        <v>-9172438000000</v>
      </c>
      <c r="Z205" s="5">
        <v>-24551203000000</v>
      </c>
    </row>
    <row r="206" spans="3:26" ht="15.5" x14ac:dyDescent="0.35">
      <c r="C206" t="s">
        <v>152</v>
      </c>
      <c r="D206" s="5">
        <v>15105705000000</v>
      </c>
      <c r="E206" s="5">
        <v>16009814000000</v>
      </c>
      <c r="F206" s="5">
        <v>-19934795000000</v>
      </c>
      <c r="G206" s="5">
        <v>-24627251000000</v>
      </c>
      <c r="I206" s="5">
        <v>-42620192000000</v>
      </c>
      <c r="J206" s="5">
        <v>-37462031000000</v>
      </c>
      <c r="K206" s="5">
        <v>-39551225000000</v>
      </c>
      <c r="L206" s="5">
        <v>-10436111000000</v>
      </c>
      <c r="M206" s="5">
        <v>22643854000000</v>
      </c>
      <c r="N206" s="5">
        <v>-19981772000000</v>
      </c>
      <c r="O206" s="5">
        <v>-18085104000000</v>
      </c>
      <c r="P206" s="5">
        <v>-1071548000000</v>
      </c>
      <c r="Q206" s="5">
        <v>-10847132000000</v>
      </c>
      <c r="R206" s="5">
        <v>7081628000000</v>
      </c>
      <c r="S206" s="5">
        <v>1804324000000</v>
      </c>
      <c r="T206" s="5">
        <v>9504649000000</v>
      </c>
      <c r="U206" s="5">
        <v>-2579081000000</v>
      </c>
      <c r="V206" s="5">
        <v>-5848791000000</v>
      </c>
      <c r="W206" s="5">
        <v>-8298910000000</v>
      </c>
      <c r="X206" s="5">
        <v>-7050019000000</v>
      </c>
      <c r="Y206" s="5">
        <v>8934646000000</v>
      </c>
      <c r="Z206" s="5">
        <v>-467330000000</v>
      </c>
    </row>
    <row r="207" spans="3:26" ht="15.5" x14ac:dyDescent="0.35">
      <c r="C207" t="s">
        <v>153</v>
      </c>
      <c r="D207" s="5">
        <v>-8766348000000</v>
      </c>
      <c r="E207" s="5">
        <v>8980831000000</v>
      </c>
      <c r="F207" s="5">
        <v>-42823964000000</v>
      </c>
      <c r="G207" s="5">
        <v>-12660613000000</v>
      </c>
      <c r="I207" s="5">
        <v>-46090581000000</v>
      </c>
      <c r="J207" s="5">
        <v>-188189000000</v>
      </c>
      <c r="K207" s="5">
        <v>-4989092000000</v>
      </c>
      <c r="L207" s="5">
        <v>27227960000000</v>
      </c>
      <c r="M207" s="5">
        <v>-73095605000000</v>
      </c>
      <c r="N207" s="5">
        <v>-116007831000000</v>
      </c>
      <c r="O207" s="5">
        <v>-5188442000000</v>
      </c>
      <c r="P207" s="5">
        <v>-26999124000000</v>
      </c>
      <c r="Q207" s="5">
        <v>-30995996000000</v>
      </c>
      <c r="R207" s="5">
        <v>-3324382000000</v>
      </c>
      <c r="S207" s="5">
        <v>-56704530000000</v>
      </c>
      <c r="T207" s="5">
        <v>-24649614000000</v>
      </c>
      <c r="U207" s="5">
        <v>-7487647000000</v>
      </c>
      <c r="V207" s="5">
        <v>-5496837000000</v>
      </c>
      <c r="W207" s="5">
        <v>-1788462000000</v>
      </c>
      <c r="X207" s="5">
        <v>-505890000000</v>
      </c>
      <c r="Y207" s="5">
        <v>-425253000000</v>
      </c>
      <c r="Z207" s="5">
        <v>-636194000000</v>
      </c>
    </row>
    <row r="208" spans="3:26" ht="15.5" x14ac:dyDescent="0.35">
      <c r="C208" t="s">
        <v>158</v>
      </c>
      <c r="D208" s="5">
        <v>30624000000</v>
      </c>
      <c r="E208" s="5">
        <v>74741000000</v>
      </c>
      <c r="F208" s="5">
        <v>6219000000</v>
      </c>
      <c r="G208" s="5">
        <v>13317000000</v>
      </c>
      <c r="I208" s="5">
        <v>100205000000</v>
      </c>
      <c r="J208" s="5">
        <v>129827000000</v>
      </c>
      <c r="K208" s="5">
        <v>168975000000</v>
      </c>
      <c r="L208" s="5">
        <v>343195000000</v>
      </c>
      <c r="M208" s="5">
        <v>51654000000</v>
      </c>
      <c r="N208" s="5">
        <v>35214000000</v>
      </c>
      <c r="S208" s="5">
        <v>21628000000</v>
      </c>
      <c r="T208" s="5">
        <v>14059000000</v>
      </c>
      <c r="U208" s="5">
        <v>108193000000</v>
      </c>
      <c r="V208" s="5">
        <v>13895000000</v>
      </c>
      <c r="W208" s="5">
        <v>10475000000</v>
      </c>
      <c r="X208" s="5">
        <v>5875000000</v>
      </c>
      <c r="Y208" s="5">
        <v>16273000000</v>
      </c>
      <c r="Z208" s="5">
        <v>3295000000</v>
      </c>
    </row>
    <row r="209" spans="3:26" ht="15.5" x14ac:dyDescent="0.35">
      <c r="C209" t="s">
        <v>160</v>
      </c>
      <c r="D209" s="5">
        <v>-1261910000000</v>
      </c>
      <c r="E209" s="5">
        <v>-737026000000</v>
      </c>
      <c r="F209" s="5">
        <v>-1021771000000</v>
      </c>
      <c r="G209" s="5">
        <v>-2086018000000</v>
      </c>
      <c r="I209" s="5">
        <v>-6344276000000</v>
      </c>
      <c r="J209" s="5">
        <v>-10334588000000</v>
      </c>
      <c r="K209" s="5">
        <v>-8177296000000</v>
      </c>
      <c r="L209" s="5">
        <v>-10538233000000</v>
      </c>
      <c r="M209" s="5">
        <v>-8254116000000</v>
      </c>
      <c r="N209" s="5">
        <v>-3129034000000</v>
      </c>
      <c r="O209" s="5">
        <v>-3695364000000</v>
      </c>
      <c r="P209" s="5">
        <v>-1822703000000</v>
      </c>
      <c r="Q209" s="5">
        <v>-2006347000000</v>
      </c>
      <c r="R209" s="5">
        <v>-3653072000000</v>
      </c>
      <c r="S209" s="5">
        <v>-3285398000000</v>
      </c>
      <c r="T209" s="5">
        <v>-3064718000000</v>
      </c>
      <c r="U209" s="5">
        <v>-1947985000000</v>
      </c>
      <c r="V209" s="5">
        <v>-1445290000000</v>
      </c>
      <c r="W209" s="5">
        <v>-601339000000</v>
      </c>
      <c r="X209" s="5">
        <v>-511912000000</v>
      </c>
      <c r="Y209" s="5">
        <v>-441550000000</v>
      </c>
      <c r="Z209" s="5">
        <v>-639578000000</v>
      </c>
    </row>
    <row r="210" spans="3:26" ht="15.5" x14ac:dyDescent="0.35">
      <c r="C210" t="s">
        <v>590</v>
      </c>
      <c r="D210" s="5">
        <v>-7535091000000</v>
      </c>
      <c r="E210" s="5">
        <v>49653005000000</v>
      </c>
      <c r="F210" s="5">
        <v>-41812181000000</v>
      </c>
      <c r="G210" s="5">
        <v>-10747522000000</v>
      </c>
      <c r="O210" s="5">
        <v>-1270825000000</v>
      </c>
      <c r="P210" s="5">
        <v>-25188955000000</v>
      </c>
      <c r="Q210" s="5">
        <v>-28918362000000</v>
      </c>
      <c r="R210" s="5">
        <v>328455000000</v>
      </c>
      <c r="S210" s="5">
        <v>-53441154000000</v>
      </c>
      <c r="T210" s="5">
        <v>-21598976000000</v>
      </c>
      <c r="U210" s="5">
        <v>-5648237000000</v>
      </c>
      <c r="V210" s="5">
        <v>-4065600000000</v>
      </c>
      <c r="W210" s="5">
        <v>-1205082000000</v>
      </c>
    </row>
    <row r="211" spans="3:26" ht="15.5" x14ac:dyDescent="0.35">
      <c r="C211" t="s">
        <v>514</v>
      </c>
      <c r="W211" s="5">
        <v>7350000000</v>
      </c>
    </row>
    <row r="212" spans="3:26" ht="15.5" x14ac:dyDescent="0.35">
      <c r="C212" t="s">
        <v>591</v>
      </c>
      <c r="J212" s="5">
        <v>-4912000000</v>
      </c>
      <c r="K212" s="5">
        <v>36137000000</v>
      </c>
      <c r="L212" s="5">
        <v>-145649000000</v>
      </c>
      <c r="M212" s="5">
        <v>-315724000000</v>
      </c>
      <c r="N212" s="5">
        <v>-280175000000</v>
      </c>
      <c r="O212" s="5">
        <v>-228110000000</v>
      </c>
      <c r="Q212" s="5">
        <v>-71327000000</v>
      </c>
    </row>
    <row r="213" spans="3:26" ht="15.5" x14ac:dyDescent="0.35">
      <c r="C213" t="s">
        <v>592</v>
      </c>
      <c r="E213" s="5">
        <v>-40012932000000</v>
      </c>
      <c r="I213" s="5">
        <v>-40012932000000</v>
      </c>
      <c r="J213" s="5">
        <v>9884449000000</v>
      </c>
      <c r="K213" s="5">
        <v>2907520000000</v>
      </c>
      <c r="L213" s="5">
        <v>37424578000000</v>
      </c>
      <c r="M213" s="5">
        <v>-64581768000000</v>
      </c>
      <c r="N213" s="5">
        <v>-112640485000000</v>
      </c>
    </row>
    <row r="214" spans="3:26" ht="15.5" x14ac:dyDescent="0.35">
      <c r="C214" t="s">
        <v>593</v>
      </c>
      <c r="D214" s="5">
        <v>29000000</v>
      </c>
      <c r="E214" s="5">
        <v>3043000000</v>
      </c>
      <c r="F214" s="5">
        <v>3769000000</v>
      </c>
      <c r="G214" s="5">
        <v>159610000000</v>
      </c>
      <c r="I214" s="5">
        <v>166422000000</v>
      </c>
      <c r="J214" s="5">
        <v>137035000000</v>
      </c>
      <c r="K214" s="5">
        <v>75572000000</v>
      </c>
      <c r="L214" s="5">
        <v>144069000000</v>
      </c>
      <c r="M214" s="5">
        <v>4349000000</v>
      </c>
      <c r="N214" s="5">
        <v>6649000000</v>
      </c>
      <c r="O214" s="5">
        <v>5857000000</v>
      </c>
      <c r="P214" s="5">
        <v>12534000000</v>
      </c>
      <c r="Q214" s="5">
        <v>40000000</v>
      </c>
      <c r="R214" s="5">
        <v>235000000</v>
      </c>
      <c r="S214" s="5">
        <v>394000000</v>
      </c>
      <c r="T214" s="5">
        <v>21000000</v>
      </c>
      <c r="U214" s="5">
        <v>382000000</v>
      </c>
      <c r="V214" s="5">
        <v>158000000</v>
      </c>
      <c r="W214" s="5">
        <v>134000000</v>
      </c>
      <c r="X214" s="5">
        <v>147000000</v>
      </c>
      <c r="Y214" s="5">
        <v>24000000</v>
      </c>
      <c r="Z214" s="5">
        <v>89000000</v>
      </c>
    </row>
    <row r="215" spans="3:26" ht="15.5" x14ac:dyDescent="0.35">
      <c r="C215" t="s">
        <v>171</v>
      </c>
      <c r="D215" s="5">
        <v>15105705000000</v>
      </c>
      <c r="E215" s="5">
        <v>16009814000000</v>
      </c>
      <c r="F215" s="5">
        <v>-19934795000000</v>
      </c>
      <c r="G215" s="5">
        <v>-24627251000000</v>
      </c>
      <c r="I215" s="5">
        <v>-42620192000000</v>
      </c>
      <c r="J215" s="5">
        <v>-37462031000000</v>
      </c>
      <c r="K215" s="5">
        <v>-39551225000000</v>
      </c>
      <c r="L215" s="5">
        <v>-10436111000000</v>
      </c>
      <c r="M215" s="5">
        <v>22643854000000</v>
      </c>
      <c r="N215" s="5">
        <v>-19981772000000</v>
      </c>
      <c r="O215" s="5">
        <v>-18085104000000</v>
      </c>
      <c r="P215" s="5">
        <v>-1071548000000</v>
      </c>
      <c r="Q215" s="5">
        <v>-10847132000000</v>
      </c>
      <c r="R215" s="5">
        <v>7081628000000</v>
      </c>
      <c r="S215" s="5">
        <v>1804324000000</v>
      </c>
      <c r="T215" s="5">
        <v>9504649000000</v>
      </c>
      <c r="U215" s="5">
        <v>-2579081000000</v>
      </c>
      <c r="V215" s="5">
        <v>-5848791000000</v>
      </c>
      <c r="W215" s="5">
        <v>-8298910000000</v>
      </c>
      <c r="X215" s="5">
        <v>-7050019000000</v>
      </c>
      <c r="Y215" s="5">
        <v>8934646000000</v>
      </c>
      <c r="Z215" s="5">
        <v>-467330000000</v>
      </c>
    </row>
    <row r="216" spans="3:26" ht="15.5" x14ac:dyDescent="0.35">
      <c r="C216" t="s">
        <v>594</v>
      </c>
      <c r="D216" s="5">
        <v>30162030000000</v>
      </c>
      <c r="E216" s="5">
        <v>17169137000000</v>
      </c>
      <c r="F216" s="5">
        <v>-21460847000000</v>
      </c>
      <c r="G216" s="5">
        <v>-4576876000000</v>
      </c>
      <c r="I216" s="5">
        <v>1077997000000</v>
      </c>
      <c r="J216" s="5">
        <v>29188564000000</v>
      </c>
      <c r="K216" s="5">
        <v>19360539000000</v>
      </c>
      <c r="L216" s="5">
        <v>11068534000000</v>
      </c>
      <c r="M216" s="5">
        <v>-4229199000000</v>
      </c>
      <c r="N216" s="5">
        <v>4935803000000</v>
      </c>
      <c r="O216" s="5">
        <v>-9592989000000</v>
      </c>
      <c r="P216" s="5">
        <v>10829393000000</v>
      </c>
      <c r="Q216" s="5">
        <v>-5663258000000</v>
      </c>
      <c r="R216" s="5">
        <v>-647350000000</v>
      </c>
      <c r="S216" s="5">
        <v>9930290000000</v>
      </c>
      <c r="T216" s="5">
        <v>15767824000000</v>
      </c>
      <c r="U216" s="5">
        <v>-1803842000000</v>
      </c>
      <c r="V216" s="5">
        <v>-2209161000000</v>
      </c>
      <c r="W216" s="5">
        <v>3643371000000</v>
      </c>
      <c r="X216" s="5">
        <v>-4156854000000</v>
      </c>
      <c r="Y216" s="5">
        <v>10254904000000</v>
      </c>
      <c r="Z216" s="5">
        <v>974218000000</v>
      </c>
    </row>
    <row r="217" spans="3:26" ht="15.5" x14ac:dyDescent="0.35">
      <c r="C217" t="s">
        <v>528</v>
      </c>
      <c r="E217" s="5">
        <v>-239437000000</v>
      </c>
      <c r="G217" s="5">
        <v>-243097000000</v>
      </c>
      <c r="I217" s="5">
        <v>-488373000000</v>
      </c>
      <c r="J217" s="5">
        <v>-875758000000</v>
      </c>
      <c r="K217" s="5">
        <v>-1382284000000</v>
      </c>
      <c r="L217" s="5">
        <v>-2187544000000</v>
      </c>
      <c r="R217" s="5">
        <v>-132573000000</v>
      </c>
      <c r="S217" s="5">
        <v>-2286375000000</v>
      </c>
    </row>
    <row r="218" spans="3:26" ht="15.5" x14ac:dyDescent="0.35">
      <c r="C218" t="s">
        <v>595</v>
      </c>
    </row>
    <row r="219" spans="3:26" ht="15.5" x14ac:dyDescent="0.35">
      <c r="C219" t="s">
        <v>596</v>
      </c>
      <c r="W219" s="5">
        <v>-9188909000000</v>
      </c>
      <c r="X219" s="5">
        <v>2506000000</v>
      </c>
      <c r="Y219" s="5">
        <v>-503887000000</v>
      </c>
      <c r="Z219" s="5">
        <v>2573610000000</v>
      </c>
    </row>
    <row r="220" spans="3:26" ht="15.5" x14ac:dyDescent="0.35">
      <c r="C220" t="s">
        <v>597</v>
      </c>
    </row>
    <row r="221" spans="3:26" ht="15.5" x14ac:dyDescent="0.35">
      <c r="C221" t="s">
        <v>598</v>
      </c>
      <c r="D221" s="5">
        <v>-20632255000000</v>
      </c>
      <c r="E221" s="5">
        <v>-154871000000</v>
      </c>
      <c r="F221" s="5">
        <v>7736000000</v>
      </c>
      <c r="G221" s="5">
        <v>-31396876000000</v>
      </c>
      <c r="I221" s="5">
        <v>-51881643000000</v>
      </c>
      <c r="J221" s="5">
        <v>-48102283000000</v>
      </c>
      <c r="K221" s="5">
        <v>-43494766000000</v>
      </c>
      <c r="L221" s="5">
        <v>-26406603000000</v>
      </c>
      <c r="M221" s="5">
        <v>-12125589000000</v>
      </c>
      <c r="N221" s="5">
        <v>-20623565000000</v>
      </c>
      <c r="O221" s="5">
        <v>-16175565000000</v>
      </c>
      <c r="P221" s="5">
        <v>-13048441000000</v>
      </c>
      <c r="Q221" s="5">
        <v>-10483777000000</v>
      </c>
      <c r="R221" s="5">
        <v>-7621316000000</v>
      </c>
      <c r="S221" s="5">
        <v>-7273684000000</v>
      </c>
      <c r="T221" s="5">
        <v>-6350262000000</v>
      </c>
      <c r="U221" s="5">
        <v>-5556285000000</v>
      </c>
      <c r="V221" s="5">
        <v>-3619905000000</v>
      </c>
      <c r="W221" s="5">
        <v>-2753372000000</v>
      </c>
      <c r="X221" s="5">
        <v>-2414327000000</v>
      </c>
      <c r="Y221" s="5">
        <v>-2798324000000</v>
      </c>
      <c r="Z221" s="5">
        <v>-2612520000000</v>
      </c>
    </row>
    <row r="222" spans="3:26" ht="15.5" x14ac:dyDescent="0.35">
      <c r="C222" t="s">
        <v>599</v>
      </c>
    </row>
    <row r="223" spans="3:26" ht="15.5" x14ac:dyDescent="0.35">
      <c r="C223" t="s">
        <v>600</v>
      </c>
      <c r="D223" s="5">
        <v>-20632255000000</v>
      </c>
      <c r="E223" s="5">
        <v>-154871000000</v>
      </c>
      <c r="F223" s="5">
        <v>7736000000</v>
      </c>
      <c r="G223" s="5">
        <v>-31396876000000</v>
      </c>
      <c r="I223" s="5">
        <v>-51881643000000</v>
      </c>
      <c r="J223" s="5">
        <v>-48102283000000</v>
      </c>
      <c r="K223" s="5">
        <v>-43494766000000</v>
      </c>
      <c r="L223" s="5">
        <v>-26406603000000</v>
      </c>
      <c r="M223" s="5">
        <v>-12125589000000</v>
      </c>
      <c r="N223" s="5">
        <v>-20623565000000</v>
      </c>
      <c r="O223" s="5">
        <v>-16175565000000</v>
      </c>
      <c r="P223" s="5">
        <v>-13048441000000</v>
      </c>
      <c r="Q223" s="5">
        <v>-10483777000000</v>
      </c>
      <c r="R223" s="5">
        <v>-7621316000000</v>
      </c>
      <c r="S223" s="5">
        <v>-7273684000000</v>
      </c>
      <c r="T223" s="5">
        <v>-6350262000000</v>
      </c>
      <c r="U223" s="5">
        <v>-5556285000000</v>
      </c>
      <c r="V223" s="5">
        <v>-3619905000000</v>
      </c>
      <c r="W223" s="5">
        <v>-2753372000000</v>
      </c>
      <c r="X223" s="5">
        <v>-2414327000000</v>
      </c>
      <c r="Y223" s="5">
        <v>-2798324000000</v>
      </c>
      <c r="Z223" s="5">
        <v>-2612520000000</v>
      </c>
    </row>
    <row r="224" spans="3:26" ht="15.5" x14ac:dyDescent="0.35">
      <c r="C224" t="s">
        <v>601</v>
      </c>
      <c r="X224" s="5">
        <v>38532000000</v>
      </c>
      <c r="Y224" s="5">
        <v>11889000000</v>
      </c>
      <c r="Z224" s="5">
        <v>23231000000</v>
      </c>
    </row>
    <row r="225" spans="2:26" ht="15.5" x14ac:dyDescent="0.35">
      <c r="C225" t="s">
        <v>602</v>
      </c>
      <c r="X225" s="5">
        <v>2365000000</v>
      </c>
      <c r="Y225" s="5">
        <v>2276000000</v>
      </c>
      <c r="Z225" s="5">
        <v>3750000000</v>
      </c>
    </row>
    <row r="226" spans="2:26" ht="15.5" x14ac:dyDescent="0.35">
      <c r="C226" t="s">
        <v>603</v>
      </c>
      <c r="M226" s="5">
        <v>41059206000000</v>
      </c>
    </row>
    <row r="227" spans="2:26" ht="15.5" x14ac:dyDescent="0.35">
      <c r="C227" t="s">
        <v>604</v>
      </c>
      <c r="K227" s="5">
        <v>-5858000000</v>
      </c>
      <c r="P227" s="5">
        <v>487065000000</v>
      </c>
      <c r="Q227" s="5">
        <v>-22060000000</v>
      </c>
      <c r="R227" s="5">
        <v>952042000000</v>
      </c>
      <c r="S227" s="5">
        <v>-21114000000</v>
      </c>
      <c r="T227" s="5">
        <v>-2019442000000</v>
      </c>
      <c r="U227" s="5">
        <v>-19538000000</v>
      </c>
      <c r="V227" s="5">
        <v>-19725000000</v>
      </c>
      <c r="X227" s="5">
        <v>-522241000000</v>
      </c>
      <c r="Y227" s="5">
        <v>1967788000000</v>
      </c>
      <c r="Z227" s="5">
        <v>-1429619000000</v>
      </c>
    </row>
    <row r="228" spans="2:26" ht="15.5" x14ac:dyDescent="0.35">
      <c r="C228" t="s">
        <v>605</v>
      </c>
      <c r="D228" s="5">
        <v>7890960000000</v>
      </c>
      <c r="E228" s="5">
        <v>6848691000000</v>
      </c>
      <c r="F228" s="5">
        <v>8120915000000</v>
      </c>
      <c r="G228" s="5">
        <v>13330340000000</v>
      </c>
      <c r="I228" s="5">
        <v>28395963000000</v>
      </c>
      <c r="J228" s="5">
        <v>10905923000000</v>
      </c>
      <c r="K228" s="5">
        <v>14112994000000</v>
      </c>
      <c r="L228" s="5">
        <v>21739525000000</v>
      </c>
      <c r="M228" s="5">
        <v>12547672000000</v>
      </c>
      <c r="N228" s="5">
        <v>1998840000000</v>
      </c>
      <c r="O228" s="5">
        <v>12102950000000</v>
      </c>
      <c r="P228" s="5">
        <v>9600185000000</v>
      </c>
      <c r="Q228" s="5">
        <v>10242963000000</v>
      </c>
      <c r="R228" s="5">
        <v>15510825000000</v>
      </c>
      <c r="S228" s="5">
        <v>1455207000000</v>
      </c>
      <c r="T228" s="5">
        <v>2106529000000</v>
      </c>
      <c r="U228" s="5">
        <v>4800584000000</v>
      </c>
    </row>
    <row r="229" spans="2:26" ht="15.5" x14ac:dyDescent="0.35">
      <c r="C229" t="s">
        <v>606</v>
      </c>
      <c r="D229" s="5">
        <v>-2315030000000</v>
      </c>
      <c r="E229" s="5">
        <v>-7613706000000</v>
      </c>
      <c r="F229" s="5">
        <v>-6602599000000</v>
      </c>
      <c r="G229" s="5">
        <v>-1740742000000</v>
      </c>
      <c r="I229" s="5">
        <v>-19724136000000</v>
      </c>
      <c r="J229" s="5">
        <v>-28578477000000</v>
      </c>
      <c r="K229" s="5">
        <v>-28141850000000</v>
      </c>
      <c r="L229" s="5">
        <v>-14650023000000</v>
      </c>
      <c r="M229" s="5">
        <v>-14608236000000</v>
      </c>
      <c r="N229" s="5">
        <v>-6292850000000</v>
      </c>
      <c r="O229" s="5">
        <v>-4419500000000</v>
      </c>
      <c r="P229" s="5">
        <v>-8939750000000</v>
      </c>
      <c r="Q229" s="5">
        <v>-4921000000000</v>
      </c>
      <c r="R229" s="5">
        <v>-980000000000</v>
      </c>
    </row>
    <row r="230" spans="2:26" ht="15.5" x14ac:dyDescent="0.35">
      <c r="C230" t="s">
        <v>607</v>
      </c>
    </row>
    <row r="231" spans="2:26" ht="15.5" x14ac:dyDescent="0.35">
      <c r="C231" t="s">
        <v>188</v>
      </c>
      <c r="D231" s="5">
        <v>56589060000000</v>
      </c>
      <c r="E231" s="5">
        <v>-61081756000000</v>
      </c>
      <c r="F231" s="5">
        <v>-38418936000000</v>
      </c>
      <c r="G231" s="5">
        <v>-34531799000000</v>
      </c>
      <c r="I231" s="5">
        <v>-74093750000000</v>
      </c>
      <c r="J231" s="5">
        <v>-13367112000000</v>
      </c>
      <c r="K231" s="5">
        <v>-49511771000000</v>
      </c>
      <c r="L231" s="5">
        <v>114297854000000</v>
      </c>
      <c r="M231" s="5">
        <v>-17863377000000</v>
      </c>
      <c r="N231" s="5">
        <v>-69300416000000</v>
      </c>
      <c r="O231" s="5">
        <v>21309532000000</v>
      </c>
      <c r="P231" s="5">
        <v>29191708000000</v>
      </c>
      <c r="Q231" s="5">
        <v>-2544019000000</v>
      </c>
      <c r="R231" s="5">
        <v>25528079000000</v>
      </c>
      <c r="S231" s="5">
        <v>-9355298000000</v>
      </c>
      <c r="T231" s="5">
        <v>60677671000000</v>
      </c>
      <c r="U231" s="5">
        <v>-10557184000000</v>
      </c>
      <c r="V231" s="5">
        <v>-35712857000000</v>
      </c>
      <c r="W231" s="5">
        <v>5464018000000</v>
      </c>
      <c r="X231" s="5">
        <v>37257561000000</v>
      </c>
      <c r="Y231" s="5">
        <v>10016089000000</v>
      </c>
      <c r="Z231" s="5">
        <v>-16901277000000</v>
      </c>
    </row>
    <row r="232" spans="2:26" ht="15.5" x14ac:dyDescent="0.35">
      <c r="C232" t="s">
        <v>189</v>
      </c>
      <c r="D232" s="5">
        <v>131235715000000</v>
      </c>
      <c r="I232" s="5">
        <v>205328380000000</v>
      </c>
      <c r="J232" s="5">
        <v>218677734000000</v>
      </c>
      <c r="K232" s="5">
        <v>268192168000000</v>
      </c>
      <c r="L232" s="5">
        <v>153924601000000</v>
      </c>
      <c r="M232" s="5">
        <v>171790168000000</v>
      </c>
      <c r="N232" s="5">
        <v>236906429000000</v>
      </c>
      <c r="O232" s="5">
        <v>215757148000000</v>
      </c>
      <c r="P232" s="5">
        <v>186617516000000</v>
      </c>
      <c r="Q232" s="5">
        <v>188954879000000</v>
      </c>
      <c r="R232" s="5">
        <v>163388757000000</v>
      </c>
      <c r="S232" s="5">
        <v>172731255000000</v>
      </c>
      <c r="T232" s="5">
        <v>112050809000000</v>
      </c>
      <c r="U232" s="5">
        <v>119371406000000</v>
      </c>
      <c r="V232" s="5">
        <v>133022240000000</v>
      </c>
      <c r="W232" s="5">
        <v>127522699000000</v>
      </c>
      <c r="X232" s="5">
        <v>81674099000000</v>
      </c>
      <c r="Y232" s="5">
        <v>20116129000000</v>
      </c>
      <c r="Z232" s="5">
        <v>37012120000000</v>
      </c>
    </row>
    <row r="233" spans="2:26" ht="15.5" x14ac:dyDescent="0.35">
      <c r="C233" t="s">
        <v>608</v>
      </c>
      <c r="D233" s="5">
        <v>-8193000000</v>
      </c>
      <c r="R233" s="5">
        <v>36764000000</v>
      </c>
    </row>
    <row r="234" spans="2:26" ht="15.5" x14ac:dyDescent="0.35">
      <c r="C234" t="s">
        <v>190</v>
      </c>
      <c r="D234" s="5">
        <v>15238000000</v>
      </c>
      <c r="E234" s="5">
        <v>-15040000000</v>
      </c>
      <c r="F234" s="5">
        <v>38722000000</v>
      </c>
      <c r="G234" s="5">
        <v>-69738000000</v>
      </c>
      <c r="I234" s="5">
        <v>1085000000</v>
      </c>
      <c r="J234" s="5">
        <v>17758000000</v>
      </c>
      <c r="K234" s="5">
        <v>-2663000000</v>
      </c>
      <c r="L234" s="5">
        <v>-30287000000</v>
      </c>
      <c r="M234" s="5">
        <v>-2190000000</v>
      </c>
      <c r="N234" s="5">
        <v>-352878000000</v>
      </c>
      <c r="O234" s="5">
        <v>-160251000000</v>
      </c>
      <c r="P234" s="5">
        <v>-52076000000</v>
      </c>
      <c r="Q234" s="5">
        <v>-427000000</v>
      </c>
      <c r="R234" s="5">
        <v>1279000000</v>
      </c>
      <c r="S234" s="5">
        <v>12800000000</v>
      </c>
      <c r="T234" s="5">
        <v>2775000000</v>
      </c>
      <c r="U234" s="5">
        <v>4369000000</v>
      </c>
      <c r="V234" s="5">
        <v>428800000000</v>
      </c>
      <c r="W234" s="5">
        <v>35523000000</v>
      </c>
      <c r="X234" s="5">
        <v>-42710000000</v>
      </c>
      <c r="Y234" s="5">
        <v>-18414000000</v>
      </c>
      <c r="Z234" s="5">
        <v>5286000000</v>
      </c>
    </row>
    <row r="235" spans="2:26" ht="15.5" x14ac:dyDescent="0.35">
      <c r="C235" t="s">
        <v>191</v>
      </c>
      <c r="D235" s="5">
        <v>187831820000000</v>
      </c>
      <c r="E235" s="5">
        <v>-61096796000000</v>
      </c>
      <c r="F235" s="5">
        <v>-38380214000000</v>
      </c>
      <c r="G235" s="5">
        <v>-34601537000000</v>
      </c>
      <c r="I235" s="5">
        <v>131235715000000</v>
      </c>
      <c r="J235" s="5">
        <v>205328380000000</v>
      </c>
      <c r="K235" s="5">
        <v>218677734000000</v>
      </c>
      <c r="L235" s="5">
        <v>268192168000000</v>
      </c>
      <c r="M235" s="5">
        <v>153924601000000</v>
      </c>
      <c r="N235" s="5">
        <v>167253135000000</v>
      </c>
      <c r="O235" s="5">
        <v>236906429000000</v>
      </c>
      <c r="P235" s="5">
        <v>215757148000000</v>
      </c>
      <c r="Q235" s="5">
        <v>186410433000000</v>
      </c>
      <c r="R235" s="5">
        <v>188954879000000</v>
      </c>
      <c r="S235" s="5">
        <v>163388757000000</v>
      </c>
      <c r="T235" s="5">
        <v>172731255000000</v>
      </c>
      <c r="U235" s="5">
        <v>108818591000000</v>
      </c>
      <c r="V235" s="5">
        <v>97738183000000</v>
      </c>
      <c r="W235" s="5">
        <v>133022240000000</v>
      </c>
      <c r="X235" s="5">
        <v>118888950000000</v>
      </c>
      <c r="Y235" s="5">
        <v>30113804000000</v>
      </c>
      <c r="Z235" s="5">
        <v>20116129000000</v>
      </c>
    </row>
    <row r="237" spans="2:26" ht="15.5" x14ac:dyDescent="0.35">
      <c r="B237" t="s">
        <v>192</v>
      </c>
      <c r="C237" t="s">
        <v>10</v>
      </c>
      <c r="D237" s="5">
        <v>151560000000</v>
      </c>
      <c r="E237" s="5">
        <v>151560000000</v>
      </c>
      <c r="F237" s="5">
        <v>151560000000</v>
      </c>
      <c r="G237" s="5">
        <v>151560000000</v>
      </c>
      <c r="I237" s="5">
        <v>151560000000</v>
      </c>
      <c r="J237" s="5">
        <v>151560000000</v>
      </c>
      <c r="K237" s="5">
        <v>151560000000</v>
      </c>
      <c r="L237" s="5">
        <v>151560000000</v>
      </c>
      <c r="M237" s="5">
        <v>151560000000</v>
      </c>
      <c r="N237" s="5">
        <v>123350000000</v>
      </c>
      <c r="O237" s="5">
        <v>123350000000</v>
      </c>
      <c r="P237" s="5">
        <v>123350000000</v>
      </c>
      <c r="Q237" s="5">
        <v>123350000000</v>
      </c>
      <c r="R237" s="5">
        <v>24670000000</v>
      </c>
      <c r="S237" s="5">
        <v>24670000000</v>
      </c>
      <c r="T237" s="5">
        <v>24670000000</v>
      </c>
      <c r="U237" s="5">
        <v>24670000000</v>
      </c>
      <c r="V237" s="5">
        <v>24670000000</v>
      </c>
      <c r="W237" s="5">
        <v>24670000000</v>
      </c>
      <c r="X237" s="5">
        <v>12330000000</v>
      </c>
      <c r="Y237" s="5">
        <v>12330000000</v>
      </c>
      <c r="Z237" s="5">
        <v>12330000000</v>
      </c>
    </row>
    <row r="238" spans="2:26" ht="15.5" x14ac:dyDescent="0.35">
      <c r="C238" t="s">
        <v>193</v>
      </c>
      <c r="D238" s="6">
        <v>102.22</v>
      </c>
      <c r="E238" s="6">
        <v>104.74</v>
      </c>
      <c r="F238" s="6">
        <v>95.69</v>
      </c>
      <c r="G238" s="6">
        <v>83.5</v>
      </c>
    </row>
    <row r="239" spans="2:26" ht="15.5" x14ac:dyDescent="0.35">
      <c r="C239" t="s">
        <v>194</v>
      </c>
      <c r="D239" s="6">
        <v>32.58</v>
      </c>
      <c r="E239" s="6">
        <v>34.94</v>
      </c>
      <c r="F239" s="6">
        <v>40.76</v>
      </c>
      <c r="G239" s="6">
        <v>44.79</v>
      </c>
    </row>
    <row r="240" spans="2:26" ht="15.5" x14ac:dyDescent="0.35">
      <c r="C240" t="s">
        <v>56</v>
      </c>
      <c r="D240" s="6">
        <v>9.5500000000000007</v>
      </c>
      <c r="E240" s="6">
        <v>10.55</v>
      </c>
      <c r="F240" s="6">
        <v>11.2</v>
      </c>
      <c r="G240" s="6">
        <v>10.79</v>
      </c>
    </row>
    <row r="241" spans="3:7" ht="15.5" x14ac:dyDescent="0.35">
      <c r="C241" t="s">
        <v>195</v>
      </c>
      <c r="D241" s="5">
        <v>21774650000000</v>
      </c>
      <c r="E241" s="5">
        <v>21683130000000</v>
      </c>
      <c r="F241" s="5">
        <v>19539540000000</v>
      </c>
      <c r="G241" s="5">
        <v>18616630000000</v>
      </c>
    </row>
    <row r="242" spans="3:7" ht="15.5" x14ac:dyDescent="0.35">
      <c r="C242" t="s">
        <v>196</v>
      </c>
      <c r="D242" s="6">
        <v>6.8999999999999999E-3</v>
      </c>
      <c r="E242" s="6">
        <v>7.4000000000000003E-3</v>
      </c>
      <c r="F242" s="6">
        <v>6.8000000000000005E-3</v>
      </c>
      <c r="G242" s="6">
        <v>6.0000000000000001E-3</v>
      </c>
    </row>
    <row r="243" spans="3:7" ht="15.5" x14ac:dyDescent="0.35">
      <c r="C243" t="s">
        <v>197</v>
      </c>
      <c r="D243" s="6">
        <v>4.58E-2</v>
      </c>
      <c r="E243" s="6">
        <v>4.9000000000000002E-2</v>
      </c>
      <c r="F243" s="6">
        <v>4.3799999999999999E-2</v>
      </c>
      <c r="G243" s="6">
        <v>4.0099999999999997E-2</v>
      </c>
    </row>
    <row r="244" spans="3:7" ht="15.5" x14ac:dyDescent="0.35">
      <c r="C244" t="s">
        <v>198</v>
      </c>
      <c r="D244" s="6">
        <v>9.1000000000000004E-3</v>
      </c>
      <c r="E244" s="6">
        <v>9.4999999999999998E-3</v>
      </c>
      <c r="F244" s="6">
        <v>8.5000000000000006E-3</v>
      </c>
      <c r="G244" s="6">
        <v>8.3000000000000001E-3</v>
      </c>
    </row>
    <row r="245" spans="3:7" ht="15.5" x14ac:dyDescent="0.35">
      <c r="C245" t="s">
        <v>199</v>
      </c>
    </row>
    <row r="246" spans="3:7" ht="15.5" x14ac:dyDescent="0.35">
      <c r="C246" t="s">
        <v>200</v>
      </c>
      <c r="D246" s="5">
        <v>345062000000000</v>
      </c>
      <c r="E246" s="5">
        <v>330941000000000</v>
      </c>
      <c r="F246" s="5">
        <v>337898000000000</v>
      </c>
      <c r="G246" s="5">
        <v>322072000000000</v>
      </c>
    </row>
    <row r="247" spans="3:7" ht="15.5" x14ac:dyDescent="0.35">
      <c r="C247" t="s">
        <v>201</v>
      </c>
      <c r="D247" s="6">
        <v>1.49</v>
      </c>
      <c r="E247" s="6">
        <v>1.71</v>
      </c>
      <c r="F247" s="6">
        <v>1.78</v>
      </c>
      <c r="G247" s="6">
        <v>1.8</v>
      </c>
    </row>
    <row r="248" spans="3:7" ht="15.5" x14ac:dyDescent="0.35">
      <c r="C248" t="s">
        <v>202</v>
      </c>
      <c r="D248" s="6">
        <v>2231.5</v>
      </c>
      <c r="E248" s="5">
        <v>2138</v>
      </c>
      <c r="F248" s="6">
        <v>2185.23</v>
      </c>
      <c r="G248" s="6">
        <v>2081.71</v>
      </c>
    </row>
    <row r="249" spans="3:7" ht="15.5" x14ac:dyDescent="0.35">
      <c r="C249" t="s">
        <v>203</v>
      </c>
      <c r="D249" s="6">
        <v>1.49</v>
      </c>
      <c r="E249" s="6">
        <v>1.71</v>
      </c>
      <c r="F249" s="6">
        <v>1.78</v>
      </c>
      <c r="G249" s="6">
        <v>1.8</v>
      </c>
    </row>
    <row r="250" spans="3:7" ht="15.5" x14ac:dyDescent="0.35">
      <c r="C250" t="s">
        <v>204</v>
      </c>
      <c r="D250" s="6">
        <v>2231.5</v>
      </c>
      <c r="E250" s="5">
        <v>2138</v>
      </c>
      <c r="F250" s="6">
        <v>2185.23</v>
      </c>
      <c r="G250" s="6">
        <v>2081.71</v>
      </c>
    </row>
    <row r="251" spans="3:7" ht="15.5" x14ac:dyDescent="0.35">
      <c r="C251" t="s">
        <v>205</v>
      </c>
    </row>
    <row r="252" spans="3:7" ht="15.5" x14ac:dyDescent="0.35">
      <c r="C252" t="s">
        <v>206</v>
      </c>
    </row>
    <row r="253" spans="3:7" ht="15.5" x14ac:dyDescent="0.35">
      <c r="C253" t="s">
        <v>207</v>
      </c>
      <c r="D253" s="5">
        <v>338204000000000</v>
      </c>
      <c r="E253" s="5">
        <v>324034000000000</v>
      </c>
      <c r="F253" s="5">
        <v>331191000000000</v>
      </c>
      <c r="G253" s="5">
        <v>315501000000000</v>
      </c>
    </row>
    <row r="254" spans="3:7" ht="15.5" x14ac:dyDescent="0.35">
      <c r="C254" t="s">
        <v>22</v>
      </c>
    </row>
    <row r="255" spans="3:7" ht="15.5" x14ac:dyDescent="0.35">
      <c r="C255" t="s">
        <v>19</v>
      </c>
    </row>
    <row r="256" spans="3:7" ht="15.5" x14ac:dyDescent="0.35">
      <c r="C256" t="s">
        <v>208</v>
      </c>
    </row>
    <row r="257" spans="3:26" ht="15.5" x14ac:dyDescent="0.35">
      <c r="C257" t="s">
        <v>209</v>
      </c>
      <c r="D257" s="5">
        <v>50250000000000</v>
      </c>
      <c r="E257" s="5">
        <v>-86072000000000</v>
      </c>
      <c r="F257" s="5">
        <v>24340000000000</v>
      </c>
      <c r="G257" s="5">
        <v>2756000000000</v>
      </c>
    </row>
    <row r="258" spans="3:26" ht="15.5" x14ac:dyDescent="0.35">
      <c r="C258" t="s">
        <v>210</v>
      </c>
      <c r="D258" s="5">
        <v>-1262000000000</v>
      </c>
      <c r="E258" s="5">
        <v>-737000000000</v>
      </c>
      <c r="F258" s="5">
        <v>-1022000000000</v>
      </c>
      <c r="G258" s="5">
        <v>-2086000000000</v>
      </c>
    </row>
    <row r="259" spans="3:26" ht="15.5" x14ac:dyDescent="0.35">
      <c r="C259" t="s">
        <v>11</v>
      </c>
      <c r="D259" s="5">
        <v>48988000000000</v>
      </c>
      <c r="E259" s="5">
        <v>-86809000000000</v>
      </c>
      <c r="F259" s="5">
        <v>23318000000000</v>
      </c>
      <c r="G259" s="5">
        <v>670000000000</v>
      </c>
    </row>
    <row r="260" spans="3:26" ht="15.5" x14ac:dyDescent="0.35">
      <c r="C260" t="s">
        <v>14</v>
      </c>
      <c r="D260" s="6">
        <v>323.23</v>
      </c>
      <c r="E260" s="6">
        <v>-572.78</v>
      </c>
      <c r="F260" s="6">
        <v>153.85</v>
      </c>
      <c r="G260" s="6">
        <v>4.42</v>
      </c>
    </row>
    <row r="261" spans="3:26" ht="15.5" x14ac:dyDescent="0.35">
      <c r="C261" t="s">
        <v>43</v>
      </c>
      <c r="I261" s="6">
        <v>373.8</v>
      </c>
      <c r="J261" s="6">
        <v>395.52</v>
      </c>
      <c r="K261" s="6">
        <v>396.54</v>
      </c>
      <c r="L261" s="6">
        <v>337.63</v>
      </c>
      <c r="M261" s="6">
        <v>204.98</v>
      </c>
      <c r="N261" s="6">
        <v>151.24</v>
      </c>
      <c r="O261" s="6">
        <v>278.67</v>
      </c>
      <c r="P261" s="6">
        <v>262.27999999999997</v>
      </c>
      <c r="Q261" s="6">
        <v>235.08</v>
      </c>
      <c r="R261" s="6">
        <v>1061.8800000000001</v>
      </c>
      <c r="S261" s="6">
        <v>1029.53</v>
      </c>
      <c r="T261" s="6">
        <v>982.67</v>
      </c>
      <c r="U261" s="6">
        <v>865.22</v>
      </c>
      <c r="V261" s="6">
        <v>757.26</v>
      </c>
      <c r="W261" s="6">
        <v>611.41</v>
      </c>
      <c r="X261" s="6">
        <v>930.1</v>
      </c>
      <c r="Y261" s="6">
        <v>592.73</v>
      </c>
      <c r="Z261" s="6">
        <v>483.43</v>
      </c>
    </row>
    <row r="262" spans="3:26" ht="15.5" x14ac:dyDescent="0.35">
      <c r="C262" t="s">
        <v>55</v>
      </c>
      <c r="I262" s="6">
        <v>9.7899999999999991</v>
      </c>
      <c r="J262" s="6">
        <v>10.32</v>
      </c>
      <c r="K262" s="6">
        <v>14.44</v>
      </c>
      <c r="L262" s="6">
        <v>14.63</v>
      </c>
      <c r="M262" s="6">
        <v>20.05</v>
      </c>
      <c r="N262" s="6">
        <v>27.57</v>
      </c>
      <c r="O262" s="6">
        <v>15.79</v>
      </c>
      <c r="P262" s="6">
        <v>13.95</v>
      </c>
      <c r="Q262" s="6">
        <v>15.48</v>
      </c>
      <c r="R262" s="6">
        <v>10.99</v>
      </c>
      <c r="S262" s="6">
        <v>11.1</v>
      </c>
      <c r="T262" s="6">
        <v>11.85</v>
      </c>
      <c r="U262" s="6">
        <v>8.3800000000000008</v>
      </c>
      <c r="V262" s="6">
        <v>9.18</v>
      </c>
      <c r="W262" s="6">
        <v>11.04</v>
      </c>
      <c r="X262" s="6">
        <v>11.28</v>
      </c>
      <c r="Y262" s="6">
        <v>12.9</v>
      </c>
      <c r="Z262" s="6">
        <v>9.48</v>
      </c>
    </row>
    <row r="263" spans="3:26" ht="15.5" x14ac:dyDescent="0.35">
      <c r="C263" t="s">
        <v>58</v>
      </c>
      <c r="I263" s="6">
        <v>2.67</v>
      </c>
      <c r="J263" s="6">
        <v>3.1</v>
      </c>
      <c r="K263" s="6">
        <v>4.6100000000000003</v>
      </c>
      <c r="L263" s="6">
        <v>4.66</v>
      </c>
      <c r="M263" s="6">
        <v>4.1399999999999997</v>
      </c>
      <c r="N263" s="6">
        <v>3.62</v>
      </c>
      <c r="O263" s="6">
        <v>4.2699999999999996</v>
      </c>
      <c r="P263" s="6">
        <v>3.9</v>
      </c>
      <c r="Q263" s="6">
        <v>4.21</v>
      </c>
      <c r="R263" s="6">
        <v>2.96</v>
      </c>
      <c r="S263" s="6">
        <v>3.3</v>
      </c>
      <c r="T263" s="6">
        <v>3.83</v>
      </c>
      <c r="U263" s="6">
        <v>3.01</v>
      </c>
      <c r="V263" s="6">
        <v>3.46</v>
      </c>
      <c r="W263" s="6">
        <v>3.46</v>
      </c>
      <c r="X263" s="6">
        <v>2.9</v>
      </c>
      <c r="Y263" s="6">
        <v>2.67</v>
      </c>
      <c r="Z263" s="6">
        <v>2.0099999999999998</v>
      </c>
    </row>
    <row r="264" spans="3:26" ht="15.5" x14ac:dyDescent="0.35">
      <c r="C264" t="s">
        <v>211</v>
      </c>
      <c r="I264" s="5">
        <v>79117260000000</v>
      </c>
      <c r="J264" s="5">
        <v>84059190000000</v>
      </c>
      <c r="K264" s="5">
        <v>80555030000000</v>
      </c>
      <c r="L264" s="5">
        <v>67920840000000</v>
      </c>
      <c r="M264" s="5">
        <v>44217570000000</v>
      </c>
      <c r="N264" s="5">
        <v>32053690000000</v>
      </c>
      <c r="O264" s="5">
        <v>45165560000000</v>
      </c>
      <c r="P264" s="5">
        <v>43591190000000</v>
      </c>
    </row>
    <row r="265" spans="3:26" ht="15.5" x14ac:dyDescent="0.35">
      <c r="C265" t="s">
        <v>212</v>
      </c>
      <c r="I265" s="6">
        <v>2.6499999999999999E-2</v>
      </c>
      <c r="J265" s="6">
        <v>3.0099999999999998E-2</v>
      </c>
      <c r="K265" s="6">
        <v>3.0600000000000002E-2</v>
      </c>
      <c r="L265" s="6">
        <v>2.7400000000000001E-2</v>
      </c>
      <c r="M265" s="6">
        <v>1.8500000000000003E-2</v>
      </c>
      <c r="N265" s="6">
        <v>1.23E-2</v>
      </c>
      <c r="O265" s="6">
        <v>2.4300000000000002E-2</v>
      </c>
      <c r="P265" s="6">
        <v>2.4900000000000002E-2</v>
      </c>
      <c r="Q265" s="6">
        <v>2.5699999999999997E-2</v>
      </c>
      <c r="R265" s="6">
        <v>2.6099999999999998E-2</v>
      </c>
      <c r="S265" s="6">
        <v>2.8900000000000002E-2</v>
      </c>
      <c r="T265" s="6">
        <v>3.0200000000000001E-2</v>
      </c>
      <c r="U265" s="6">
        <v>3.4099999999999998E-2</v>
      </c>
      <c r="V265" s="6">
        <v>3.39E-2</v>
      </c>
      <c r="W265" s="6">
        <v>3.2099999999999997E-2</v>
      </c>
      <c r="X265" s="6">
        <v>2.8399999999999998E-2</v>
      </c>
      <c r="Y265" s="6">
        <v>2.3099999999999999E-2</v>
      </c>
      <c r="Z265" s="6">
        <v>2.4199999999999999E-2</v>
      </c>
    </row>
    <row r="266" spans="3:26" ht="15.5" x14ac:dyDescent="0.35">
      <c r="C266" t="s">
        <v>213</v>
      </c>
      <c r="I266" s="6">
        <v>0.17480000000000001</v>
      </c>
      <c r="J266" s="6">
        <v>0.18909999999999999</v>
      </c>
      <c r="K266" s="6">
        <v>0.193</v>
      </c>
      <c r="L266" s="6">
        <v>0.17100000000000001</v>
      </c>
      <c r="M266" s="6">
        <v>0.1076</v>
      </c>
      <c r="N266" s="6">
        <v>9.4499999999999987E-2</v>
      </c>
      <c r="O266" s="6">
        <v>0.1666</v>
      </c>
      <c r="P266" s="6">
        <v>0.17679999999999998</v>
      </c>
      <c r="Q266" s="6">
        <v>0.1739</v>
      </c>
      <c r="R266" s="6">
        <v>0.1789</v>
      </c>
      <c r="S266" s="6">
        <v>0.22510000000000002</v>
      </c>
      <c r="T266" s="6">
        <v>0.24850000000000003</v>
      </c>
      <c r="U266" s="6">
        <v>0.26960000000000001</v>
      </c>
      <c r="V266" s="6">
        <v>0.2883</v>
      </c>
      <c r="W266" s="6">
        <v>0.30299999999999999</v>
      </c>
      <c r="X266" s="6">
        <v>0.31280000000000002</v>
      </c>
      <c r="Y266" s="6">
        <v>0.2681</v>
      </c>
      <c r="Z266" s="6">
        <v>0.26649999999999996</v>
      </c>
    </row>
    <row r="267" spans="3:26" ht="15.5" x14ac:dyDescent="0.35">
      <c r="C267" t="s">
        <v>214</v>
      </c>
      <c r="I267" s="6">
        <v>3.5499999999999997E-2</v>
      </c>
      <c r="J267" s="6">
        <v>3.95E-2</v>
      </c>
      <c r="K267" s="6">
        <v>4.0099999999999997E-2</v>
      </c>
      <c r="L267" s="6">
        <v>3.6299999999999999E-2</v>
      </c>
      <c r="M267" s="6">
        <v>2.58E-2</v>
      </c>
      <c r="N267" s="6">
        <v>2.0299999999999999E-2</v>
      </c>
      <c r="O267" s="6">
        <v>3.2000000000000001E-2</v>
      </c>
      <c r="P267" s="6">
        <v>3.44E-2</v>
      </c>
      <c r="Q267" s="6">
        <v>3.4599999999999999E-2</v>
      </c>
      <c r="R267" s="6">
        <v>3.61E-2</v>
      </c>
      <c r="S267" s="6">
        <v>3.6299999999999999E-2</v>
      </c>
      <c r="T267" s="6">
        <v>3.9699999999999999E-2</v>
      </c>
      <c r="U267" s="6">
        <v>4.4400000000000002E-2</v>
      </c>
      <c r="V267" s="6">
        <v>4.4400000000000002E-2</v>
      </c>
      <c r="W267" s="6">
        <v>4.0199999999999993E-2</v>
      </c>
      <c r="X267" s="6">
        <v>3.9900000000000005E-2</v>
      </c>
      <c r="Y267" s="6">
        <v>3.04E-2</v>
      </c>
      <c r="Z267" s="6">
        <v>6.7799999999999999E-2</v>
      </c>
    </row>
    <row r="268" spans="3:26" ht="15.5" x14ac:dyDescent="0.35">
      <c r="C268" t="s">
        <v>215</v>
      </c>
    </row>
    <row r="269" spans="3:26" ht="15.5" x14ac:dyDescent="0.35">
      <c r="C269" t="s">
        <v>52</v>
      </c>
      <c r="I269" s="6">
        <v>1.71</v>
      </c>
      <c r="J269" s="6">
        <v>1.95</v>
      </c>
      <c r="K269" s="6">
        <v>2.79</v>
      </c>
      <c r="L269" s="6">
        <v>2.5</v>
      </c>
      <c r="M269" s="6">
        <v>2.16</v>
      </c>
      <c r="N269" s="6">
        <v>2.61</v>
      </c>
      <c r="O269" s="6">
        <v>2.63</v>
      </c>
      <c r="P269" s="6">
        <v>2.4700000000000002</v>
      </c>
      <c r="Q269" s="6">
        <v>2.69</v>
      </c>
      <c r="R269" s="6">
        <v>1.97</v>
      </c>
      <c r="S269" s="6">
        <v>2.5</v>
      </c>
      <c r="T269" s="6">
        <v>2.95</v>
      </c>
      <c r="U269" s="6">
        <v>2.2599999999999998</v>
      </c>
      <c r="V269" s="6">
        <v>2.65</v>
      </c>
      <c r="W269" s="6">
        <v>3.35</v>
      </c>
      <c r="X269" s="6">
        <v>3.53</v>
      </c>
      <c r="Y269" s="6">
        <v>3.46</v>
      </c>
      <c r="Z269" s="6">
        <v>2.5299999999999998</v>
      </c>
    </row>
    <row r="270" spans="3:26" ht="15.5" x14ac:dyDescent="0.35">
      <c r="C270" t="s">
        <v>49</v>
      </c>
      <c r="I270" s="5">
        <v>2138</v>
      </c>
      <c r="J270" s="6">
        <v>2091.7800000000002</v>
      </c>
      <c r="K270" s="6">
        <v>2054.4</v>
      </c>
      <c r="L270" s="6">
        <v>1974.77</v>
      </c>
      <c r="M270" s="6">
        <v>1905.1</v>
      </c>
      <c r="N270" s="6">
        <v>1600.2</v>
      </c>
      <c r="O270" s="6">
        <v>1672.72</v>
      </c>
      <c r="P270" s="6">
        <v>1483.37</v>
      </c>
      <c r="Q270" s="6">
        <v>1351.88</v>
      </c>
      <c r="R270" s="6">
        <v>5935.4</v>
      </c>
      <c r="S270" s="6">
        <v>4573.84</v>
      </c>
      <c r="T270" s="6">
        <v>3954.75</v>
      </c>
      <c r="U270" s="6">
        <v>3209.01</v>
      </c>
      <c r="V270" s="6">
        <v>2627.04</v>
      </c>
      <c r="W270" s="6">
        <v>2017.68</v>
      </c>
      <c r="X270" s="6">
        <v>2973.19</v>
      </c>
      <c r="Y270" s="6">
        <v>2210.6799999999998</v>
      </c>
      <c r="Z270" s="6">
        <v>1813.89</v>
      </c>
    </row>
    <row r="271" spans="3:26" ht="15.5" x14ac:dyDescent="0.35">
      <c r="C271" t="s">
        <v>216</v>
      </c>
      <c r="I271" s="6">
        <v>1.71</v>
      </c>
      <c r="J271" s="6">
        <v>1.95</v>
      </c>
      <c r="K271" s="6">
        <v>2.79</v>
      </c>
      <c r="L271" s="6">
        <v>2.5</v>
      </c>
      <c r="M271" s="6">
        <v>2.16</v>
      </c>
      <c r="N271" s="6">
        <v>2.61</v>
      </c>
      <c r="O271" s="6">
        <v>2.63</v>
      </c>
      <c r="P271" s="6">
        <v>2.4700000000000002</v>
      </c>
      <c r="Q271" s="6">
        <v>2.69</v>
      </c>
      <c r="R271" s="6">
        <v>1.97</v>
      </c>
      <c r="S271" s="6">
        <v>2.5</v>
      </c>
      <c r="T271" s="6">
        <v>2.95</v>
      </c>
      <c r="U271" s="6">
        <v>2.2599999999999998</v>
      </c>
      <c r="V271" s="6">
        <v>2.65</v>
      </c>
      <c r="W271" s="6">
        <v>3.35</v>
      </c>
      <c r="X271" s="6">
        <v>3.53</v>
      </c>
      <c r="Y271" s="6">
        <v>3.46</v>
      </c>
      <c r="Z271" s="6">
        <v>2.5299999999999998</v>
      </c>
    </row>
    <row r="272" spans="3:26" ht="15.5" x14ac:dyDescent="0.35">
      <c r="C272" t="s">
        <v>217</v>
      </c>
      <c r="I272" s="5">
        <v>2138</v>
      </c>
      <c r="J272" s="6">
        <v>2091.7800000000002</v>
      </c>
      <c r="K272" s="6">
        <v>2054.4</v>
      </c>
      <c r="L272" s="6">
        <v>1974.77</v>
      </c>
      <c r="M272" s="6">
        <v>1905.1</v>
      </c>
      <c r="N272" s="6">
        <v>1600.2</v>
      </c>
      <c r="O272" s="6">
        <v>1672.72</v>
      </c>
      <c r="P272" s="6">
        <v>1483.37</v>
      </c>
      <c r="Q272" s="6">
        <v>1351.88</v>
      </c>
      <c r="R272" s="6">
        <v>5935.4</v>
      </c>
      <c r="S272" s="6">
        <v>4573.84</v>
      </c>
      <c r="T272" s="6">
        <v>3954.75</v>
      </c>
      <c r="U272" s="6">
        <v>3209.01</v>
      </c>
      <c r="V272" s="6">
        <v>2627.04</v>
      </c>
      <c r="W272" s="6">
        <v>2017.68</v>
      </c>
      <c r="X272" s="6">
        <v>2973.19</v>
      </c>
      <c r="Y272" s="6">
        <v>2210.6799999999998</v>
      </c>
      <c r="Z272" s="6">
        <v>1813.89</v>
      </c>
    </row>
    <row r="273" spans="2:26" ht="15.5" x14ac:dyDescent="0.35">
      <c r="C273" t="s">
        <v>218</v>
      </c>
    </row>
    <row r="274" spans="2:26" ht="15.5" x14ac:dyDescent="0.35">
      <c r="C274" t="s">
        <v>219</v>
      </c>
    </row>
    <row r="275" spans="2:26" ht="15.5" x14ac:dyDescent="0.35">
      <c r="C275" t="s">
        <v>24</v>
      </c>
    </row>
    <row r="276" spans="2:26" ht="15.5" x14ac:dyDescent="0.35">
      <c r="C276" t="s">
        <v>21</v>
      </c>
    </row>
    <row r="277" spans="2:26" ht="15.5" x14ac:dyDescent="0.35">
      <c r="C277" t="s">
        <v>220</v>
      </c>
    </row>
    <row r="278" spans="2:26" ht="15.5" x14ac:dyDescent="0.35">
      <c r="C278" t="s">
        <v>221</v>
      </c>
      <c r="I278" s="5">
        <v>14617000000000</v>
      </c>
      <c r="J278" s="5">
        <v>24283000000000</v>
      </c>
      <c r="K278" s="5">
        <v>-4971000000000</v>
      </c>
      <c r="L278" s="5">
        <v>97506000000000</v>
      </c>
      <c r="M278" s="5">
        <v>32588000000000</v>
      </c>
      <c r="N278" s="5">
        <v>66689000000000</v>
      </c>
      <c r="O278" s="5">
        <v>44583000000000</v>
      </c>
      <c r="P278" s="5">
        <v>57262000000000</v>
      </c>
      <c r="Q278" s="5">
        <v>39299000000000</v>
      </c>
      <c r="R278" s="5">
        <v>21771000000000</v>
      </c>
      <c r="S278" s="5">
        <v>45545000000000</v>
      </c>
      <c r="T278" s="5">
        <v>75823000000000</v>
      </c>
      <c r="U278" s="5">
        <v>-490000000000</v>
      </c>
      <c r="V278" s="5">
        <v>-24367000000000</v>
      </c>
      <c r="W278" s="5">
        <v>15551000000000</v>
      </c>
      <c r="X278" s="5">
        <v>44813000000000</v>
      </c>
      <c r="Y278" s="5">
        <v>1507000000000</v>
      </c>
      <c r="Z278" s="5">
        <v>-15798000000000</v>
      </c>
    </row>
    <row r="279" spans="2:26" ht="15.5" x14ac:dyDescent="0.35">
      <c r="C279" t="s">
        <v>222</v>
      </c>
      <c r="I279" s="5">
        <v>-6344000000000</v>
      </c>
      <c r="J279" s="5">
        <v>-10335000000000</v>
      </c>
      <c r="K279" s="5">
        <v>-8177000000000</v>
      </c>
      <c r="L279" s="5">
        <v>-10538000000000</v>
      </c>
      <c r="M279" s="5">
        <v>-8254000000000</v>
      </c>
      <c r="N279" s="5">
        <v>-3129000000000</v>
      </c>
      <c r="O279" s="5">
        <v>-3695000000000</v>
      </c>
      <c r="P279" s="5">
        <v>-1823000000000</v>
      </c>
      <c r="Q279" s="5">
        <v>-2006000000000</v>
      </c>
      <c r="R279" s="5">
        <v>-3653000000000</v>
      </c>
      <c r="S279" s="5">
        <v>-3285000000000</v>
      </c>
      <c r="T279" s="5">
        <v>-3065000000000</v>
      </c>
      <c r="U279" s="5">
        <v>-1948000000000</v>
      </c>
      <c r="V279" s="5">
        <v>-1445000000000</v>
      </c>
      <c r="W279" s="5">
        <v>-601000000000</v>
      </c>
      <c r="X279" s="5">
        <v>-512000000000</v>
      </c>
      <c r="Y279" s="5">
        <v>-442000000000</v>
      </c>
      <c r="Z279" s="5">
        <v>-640000000000</v>
      </c>
    </row>
    <row r="280" spans="2:26" ht="15.5" x14ac:dyDescent="0.35">
      <c r="C280" t="s">
        <v>13</v>
      </c>
      <c r="I280" s="5">
        <v>8273000000000</v>
      </c>
      <c r="J280" s="5">
        <v>13949000000000</v>
      </c>
      <c r="K280" s="5">
        <v>-13149000000000</v>
      </c>
      <c r="L280" s="5">
        <v>86968000000000</v>
      </c>
      <c r="M280" s="5">
        <v>24334000000000</v>
      </c>
      <c r="N280" s="5">
        <v>63560000000000</v>
      </c>
      <c r="O280" s="5">
        <v>40888000000000</v>
      </c>
      <c r="P280" s="5">
        <v>55440000000000</v>
      </c>
      <c r="Q280" s="5">
        <v>37293000000000</v>
      </c>
      <c r="R280" s="5">
        <v>18118000000000</v>
      </c>
      <c r="S280" s="5">
        <v>42260000000000</v>
      </c>
      <c r="T280" s="5">
        <v>72758000000000</v>
      </c>
      <c r="U280" s="5">
        <v>-2438000000000</v>
      </c>
      <c r="V280" s="5">
        <v>-25813000000000</v>
      </c>
      <c r="W280" s="5">
        <v>14950000000000</v>
      </c>
      <c r="X280" s="5">
        <v>44302000000000</v>
      </c>
      <c r="Y280" s="5">
        <v>1065000000000</v>
      </c>
      <c r="Z280" s="5">
        <v>-16437000000000</v>
      </c>
    </row>
    <row r="281" spans="2:26" ht="15.5" x14ac:dyDescent="0.35">
      <c r="C281" t="s">
        <v>15</v>
      </c>
      <c r="I281" s="6">
        <v>54.58</v>
      </c>
      <c r="J281" s="6">
        <v>92.03</v>
      </c>
      <c r="K281" s="6">
        <v>-86.76</v>
      </c>
      <c r="L281" s="6">
        <v>573.82000000000005</v>
      </c>
      <c r="M281" s="6">
        <v>160.56</v>
      </c>
      <c r="N281" s="6">
        <v>515.29999999999995</v>
      </c>
      <c r="O281" s="6">
        <v>331.49</v>
      </c>
      <c r="P281" s="6">
        <v>449.47</v>
      </c>
      <c r="Q281" s="6">
        <v>302.33999999999997</v>
      </c>
      <c r="R281" s="6">
        <v>734.43</v>
      </c>
      <c r="S281" s="6">
        <v>1713.05</v>
      </c>
      <c r="T281" s="6">
        <v>2949.35</v>
      </c>
      <c r="U281" s="6">
        <v>-98.85</v>
      </c>
      <c r="V281" s="6">
        <v>-1046.3499999999999</v>
      </c>
      <c r="W281" s="6">
        <v>606.02</v>
      </c>
      <c r="X281" s="6">
        <v>3591.65</v>
      </c>
      <c r="Y281" s="6">
        <v>86.39</v>
      </c>
      <c r="Z281" s="6">
        <v>-1333.63</v>
      </c>
    </row>
    <row r="283" spans="2:26" ht="15.5" x14ac:dyDescent="0.35">
      <c r="B283" t="s">
        <v>223</v>
      </c>
      <c r="C283" t="s">
        <v>224</v>
      </c>
      <c r="D283" s="5">
        <v>15493000000000</v>
      </c>
      <c r="E283" s="5">
        <v>15874000000000</v>
      </c>
      <c r="F283" s="5">
        <v>14502000000000</v>
      </c>
      <c r="G283" s="5">
        <v>12655000000000</v>
      </c>
      <c r="H283" s="5">
        <v>61971000000000</v>
      </c>
      <c r="I283" s="5">
        <v>56652000000000</v>
      </c>
      <c r="J283" s="5">
        <v>59945000000000</v>
      </c>
      <c r="K283" s="5">
        <v>60100000000000</v>
      </c>
      <c r="L283" s="5">
        <v>51170000000000</v>
      </c>
      <c r="M283" s="5">
        <v>31067000000000</v>
      </c>
      <c r="N283" s="5">
        <v>18655000000000</v>
      </c>
      <c r="O283" s="5">
        <v>34373000000000</v>
      </c>
      <c r="P283" s="5">
        <v>32351000000000</v>
      </c>
      <c r="Q283" s="5">
        <v>28997000000000</v>
      </c>
    </row>
    <row r="284" spans="2:26" ht="15.5" x14ac:dyDescent="0.35">
      <c r="C284" t="s">
        <v>225</v>
      </c>
      <c r="H284" s="5">
        <v>58524000000000</v>
      </c>
      <c r="I284" s="5">
        <v>56652000000000</v>
      </c>
      <c r="J284" s="5">
        <v>59945000000000</v>
      </c>
      <c r="K284" s="5">
        <v>60100000000000</v>
      </c>
      <c r="L284" s="5">
        <v>51170000000000</v>
      </c>
      <c r="M284" s="5">
        <v>31067000000000</v>
      </c>
      <c r="N284" s="5">
        <v>18655000000000</v>
      </c>
      <c r="O284" s="5">
        <v>34373000000000</v>
      </c>
      <c r="P284" s="5">
        <v>32351000000000</v>
      </c>
      <c r="Q284" s="5">
        <v>28997000000000</v>
      </c>
    </row>
    <row r="285" spans="2:26" ht="15.5" x14ac:dyDescent="0.35">
      <c r="C285" t="s">
        <v>226</v>
      </c>
      <c r="H285" s="5">
        <v>346</v>
      </c>
      <c r="I285" s="5">
        <v>346</v>
      </c>
      <c r="J285" s="6">
        <v>343.4</v>
      </c>
      <c r="K285" s="5">
        <v>319</v>
      </c>
      <c r="L285" s="6">
        <v>288.22000000000003</v>
      </c>
      <c r="M285" s="6">
        <v>174.25</v>
      </c>
      <c r="N285" s="6">
        <v>98.91</v>
      </c>
      <c r="O285" s="6">
        <v>168.2</v>
      </c>
      <c r="P285" s="6">
        <v>131.13999999999999</v>
      </c>
      <c r="Q285" s="6">
        <v>106.75</v>
      </c>
    </row>
    <row r="286" spans="2:26" ht="15.5" x14ac:dyDescent="0.35">
      <c r="C286" t="s">
        <v>60</v>
      </c>
      <c r="H286" s="6">
        <v>0.84620000000000006</v>
      </c>
      <c r="I286" s="6">
        <v>0.92559999999999998</v>
      </c>
      <c r="J286" s="6">
        <v>0.86519999999999997</v>
      </c>
      <c r="K286" s="6">
        <v>0.8044</v>
      </c>
      <c r="L286" s="6">
        <v>0.85370000000000001</v>
      </c>
      <c r="M286" s="6">
        <v>0.85010000000000008</v>
      </c>
      <c r="N286" s="6">
        <v>0.80359999999999998</v>
      </c>
      <c r="O286" s="6">
        <v>0.74170000000000003</v>
      </c>
      <c r="P286" s="6">
        <v>0.61439999999999995</v>
      </c>
      <c r="Q286" s="6">
        <v>0.55789999999999995</v>
      </c>
    </row>
    <row r="287" spans="2:26" ht="15.5" x14ac:dyDescent="0.35">
      <c r="C287" t="s">
        <v>227</v>
      </c>
      <c r="H287" s="6">
        <v>0.12140000000000001</v>
      </c>
      <c r="I287" s="6">
        <v>0.10060000000000001</v>
      </c>
      <c r="J287" s="6">
        <v>9.0399999999999994E-2</v>
      </c>
      <c r="K287" s="6">
        <v>4.9800000000000004E-2</v>
      </c>
      <c r="L287" s="6">
        <v>5.8799999999999998E-2</v>
      </c>
      <c r="M287" s="6">
        <v>3.8100000000000002E-2</v>
      </c>
      <c r="N287" s="6">
        <v>2.41E-2</v>
      </c>
      <c r="O287" s="6">
        <v>3.85E-2</v>
      </c>
      <c r="P287" s="6">
        <v>3.49E-2</v>
      </c>
      <c r="Q287" s="6">
        <v>3.04E-2</v>
      </c>
    </row>
    <row r="288" spans="2:26" ht="15.5" x14ac:dyDescent="0.35">
      <c r="C288" t="s">
        <v>42</v>
      </c>
      <c r="D288" s="6">
        <v>102.22</v>
      </c>
      <c r="E288" s="6">
        <v>104.74</v>
      </c>
      <c r="F288" s="6">
        <v>95.69</v>
      </c>
      <c r="G288" s="6">
        <v>83.5</v>
      </c>
      <c r="H288" s="6">
        <v>408.89</v>
      </c>
      <c r="I288" s="6">
        <v>373.8</v>
      </c>
      <c r="J288" s="6">
        <v>395.52</v>
      </c>
      <c r="K288" s="6">
        <v>396.54</v>
      </c>
      <c r="L288" s="6">
        <v>337.63</v>
      </c>
      <c r="M288" s="6">
        <v>204.98</v>
      </c>
      <c r="N288" s="6">
        <v>123.09</v>
      </c>
      <c r="O288" s="6">
        <v>226.79</v>
      </c>
      <c r="P288" s="6">
        <v>213.46</v>
      </c>
      <c r="Q288" s="6">
        <v>191.32</v>
      </c>
    </row>
    <row r="289" spans="3:17" ht="15.5" x14ac:dyDescent="0.35">
      <c r="C289" t="s">
        <v>228</v>
      </c>
      <c r="H289" s="6">
        <v>386.14</v>
      </c>
      <c r="I289" s="6">
        <v>373.8</v>
      </c>
      <c r="J289" s="6">
        <v>395.52</v>
      </c>
      <c r="K289" s="6">
        <v>396.54</v>
      </c>
      <c r="L289" s="6">
        <v>337.63</v>
      </c>
      <c r="M289" s="6">
        <v>204.98</v>
      </c>
      <c r="N289" s="6">
        <v>123.09</v>
      </c>
      <c r="O289" s="6">
        <v>226.79</v>
      </c>
      <c r="P289" s="6">
        <v>213.46</v>
      </c>
      <c r="Q289" s="6">
        <v>191.32</v>
      </c>
    </row>
    <row r="290" spans="3:17" ht="15.5" x14ac:dyDescent="0.35">
      <c r="C290" t="s">
        <v>62</v>
      </c>
      <c r="H290" s="5">
        <v>346</v>
      </c>
      <c r="I290" s="5">
        <v>346</v>
      </c>
      <c r="J290" s="6">
        <v>343.4</v>
      </c>
      <c r="K290" s="5">
        <v>319</v>
      </c>
      <c r="L290" s="6">
        <v>288.22000000000003</v>
      </c>
      <c r="M290" s="6">
        <v>174.25</v>
      </c>
      <c r="N290" s="6">
        <v>98.91</v>
      </c>
      <c r="O290" s="6">
        <v>168.2</v>
      </c>
      <c r="P290" s="6">
        <v>131.13999999999999</v>
      </c>
      <c r="Q290" s="6">
        <v>106.75</v>
      </c>
    </row>
    <row r="291" spans="3:17" ht="15.5" x14ac:dyDescent="0.35">
      <c r="C291" t="s">
        <v>229</v>
      </c>
      <c r="H291" s="6">
        <v>0.84620000000000006</v>
      </c>
      <c r="I291" s="6">
        <v>0.92559999999999998</v>
      </c>
      <c r="J291" s="6">
        <v>0.86519999999999997</v>
      </c>
      <c r="K291" s="6">
        <v>0.8044</v>
      </c>
      <c r="L291" s="6">
        <v>0.85370000000000001</v>
      </c>
      <c r="M291" s="6">
        <v>0.85010000000000008</v>
      </c>
      <c r="N291" s="6">
        <v>0.80359999999999998</v>
      </c>
      <c r="O291" s="6">
        <v>0.74170000000000003</v>
      </c>
      <c r="P291" s="6">
        <v>0.61439999999999995</v>
      </c>
      <c r="Q291" s="6">
        <v>0.55789999999999995</v>
      </c>
    </row>
    <row r="292" spans="3:17" ht="15.5" x14ac:dyDescent="0.35">
      <c r="C292" t="s">
        <v>230</v>
      </c>
      <c r="H292" s="6">
        <v>0.12140000000000001</v>
      </c>
      <c r="I292" s="6">
        <v>0.10060000000000001</v>
      </c>
      <c r="J292" s="6">
        <v>9.0399999999999994E-2</v>
      </c>
      <c r="K292" s="6">
        <v>4.9800000000000004E-2</v>
      </c>
      <c r="L292" s="6">
        <v>5.8799999999999998E-2</v>
      </c>
      <c r="M292" s="6">
        <v>3.8100000000000002E-2</v>
      </c>
      <c r="N292" s="6">
        <v>2.41E-2</v>
      </c>
      <c r="O292" s="6">
        <v>3.85E-2</v>
      </c>
      <c r="P292" s="6">
        <v>3.49E-2</v>
      </c>
      <c r="Q292" s="6">
        <v>3.04E-2</v>
      </c>
    </row>
    <row r="293" spans="3:17" ht="15.5" x14ac:dyDescent="0.35">
      <c r="C293" t="s">
        <v>231</v>
      </c>
      <c r="D293" s="5">
        <v>52838000000000</v>
      </c>
      <c r="E293" s="5">
        <v>52589000000000</v>
      </c>
      <c r="F293" s="5">
        <v>52796000000000</v>
      </c>
      <c r="G293" s="5">
        <v>52528000000000</v>
      </c>
      <c r="H293" s="5">
        <v>211352000000000</v>
      </c>
      <c r="I293" s="5">
        <v>207783000000000</v>
      </c>
      <c r="J293" s="5">
        <v>199266000000000</v>
      </c>
      <c r="K293" s="5">
        <v>188075000000000</v>
      </c>
      <c r="L293" s="5">
        <v>160812000000000</v>
      </c>
      <c r="M293" s="5">
        <v>150513000000000</v>
      </c>
      <c r="N293" s="5">
        <v>141970000000000</v>
      </c>
      <c r="O293" s="5">
        <v>127130000000000</v>
      </c>
      <c r="P293" s="5">
        <v>115761000000000</v>
      </c>
      <c r="Q293" s="5">
        <v>106688000000000</v>
      </c>
    </row>
    <row r="294" spans="3:17" ht="15.5" x14ac:dyDescent="0.35">
      <c r="C294" t="s">
        <v>232</v>
      </c>
      <c r="H294" s="5">
        <v>210751000000000</v>
      </c>
      <c r="I294" s="5">
        <v>207783000000000</v>
      </c>
      <c r="J294" s="5">
        <v>199266000000000</v>
      </c>
      <c r="K294" s="5">
        <v>188075000000000</v>
      </c>
      <c r="L294" s="5">
        <v>160812000000000</v>
      </c>
      <c r="M294" s="5">
        <v>150513000000000</v>
      </c>
      <c r="N294" s="5">
        <v>141970000000000</v>
      </c>
      <c r="O294" s="5">
        <v>127130000000000</v>
      </c>
      <c r="P294" s="5">
        <v>115761000000000</v>
      </c>
      <c r="Q294" s="5">
        <v>106688000000000</v>
      </c>
    </row>
    <row r="295" spans="3:17" ht="15.5" x14ac:dyDescent="0.35">
      <c r="C295" t="s">
        <v>233</v>
      </c>
      <c r="H295" s="5">
        <v>346</v>
      </c>
      <c r="I295" s="5">
        <v>346</v>
      </c>
      <c r="J295" s="6">
        <v>343.4</v>
      </c>
      <c r="K295" s="5">
        <v>319</v>
      </c>
      <c r="L295" s="6">
        <v>288.22000000000003</v>
      </c>
      <c r="M295" s="6">
        <v>174.25</v>
      </c>
      <c r="N295" s="6">
        <v>98.91</v>
      </c>
      <c r="O295" s="6">
        <v>168.2</v>
      </c>
      <c r="P295" s="6">
        <v>131.13999999999999</v>
      </c>
      <c r="Q295" s="6">
        <v>106.75</v>
      </c>
    </row>
    <row r="296" spans="3:17" ht="15.5" x14ac:dyDescent="0.35">
      <c r="C296" t="s">
        <v>234</v>
      </c>
      <c r="H296" s="6">
        <v>0.84620000000000006</v>
      </c>
      <c r="I296" s="6">
        <v>0.92559999999999998</v>
      </c>
      <c r="J296" s="6">
        <v>0.86519999999999997</v>
      </c>
      <c r="K296" s="6">
        <v>0.8044</v>
      </c>
      <c r="L296" s="6">
        <v>0.85370000000000001</v>
      </c>
      <c r="M296" s="6">
        <v>0.85010000000000008</v>
      </c>
      <c r="N296" s="6">
        <v>0.80359999999999998</v>
      </c>
      <c r="O296" s="6">
        <v>0.74170000000000003</v>
      </c>
      <c r="P296" s="6">
        <v>0.61439999999999995</v>
      </c>
      <c r="Q296" s="6">
        <v>0.55789999999999995</v>
      </c>
    </row>
    <row r="297" spans="3:17" ht="15.5" x14ac:dyDescent="0.35">
      <c r="C297" t="s">
        <v>235</v>
      </c>
      <c r="H297" s="6">
        <v>0.12140000000000001</v>
      </c>
      <c r="I297" s="6">
        <v>0.10060000000000001</v>
      </c>
      <c r="J297" s="6">
        <v>9.0399999999999994E-2</v>
      </c>
      <c r="K297" s="6">
        <v>4.9800000000000004E-2</v>
      </c>
      <c r="L297" s="6">
        <v>5.8799999999999998E-2</v>
      </c>
      <c r="M297" s="6">
        <v>3.8100000000000002E-2</v>
      </c>
      <c r="N297" s="6">
        <v>2.41E-2</v>
      </c>
      <c r="O297" s="6">
        <v>3.85E-2</v>
      </c>
      <c r="P297" s="6">
        <v>3.49E-2</v>
      </c>
      <c r="Q297" s="6">
        <v>3.04E-2</v>
      </c>
    </row>
    <row r="298" spans="3:17" ht="15.5" x14ac:dyDescent="0.35">
      <c r="C298" t="s">
        <v>236</v>
      </c>
      <c r="I298" s="6">
        <v>6.97</v>
      </c>
    </row>
    <row r="299" spans="3:17" ht="15.5" x14ac:dyDescent="0.35">
      <c r="C299" t="s">
        <v>237</v>
      </c>
      <c r="I299" s="6">
        <v>7.38</v>
      </c>
    </row>
    <row r="300" spans="3:17" ht="15.5" x14ac:dyDescent="0.35">
      <c r="C300" t="s">
        <v>238</v>
      </c>
      <c r="I300" s="6">
        <v>7.03</v>
      </c>
    </row>
    <row r="301" spans="3:17" ht="15.5" x14ac:dyDescent="0.35">
      <c r="C301" t="s">
        <v>239</v>
      </c>
      <c r="I301" s="6">
        <v>7.41</v>
      </c>
    </row>
    <row r="302" spans="3:17" ht="15.5" x14ac:dyDescent="0.35">
      <c r="C302" t="s">
        <v>240</v>
      </c>
      <c r="I302" s="6">
        <v>0.13550000000000001</v>
      </c>
    </row>
    <row r="303" spans="3:17" ht="15.5" x14ac:dyDescent="0.35">
      <c r="C303" t="s">
        <v>241</v>
      </c>
      <c r="I303" s="6">
        <v>2.0499999999999998</v>
      </c>
    </row>
    <row r="304" spans="3:17" ht="15.5" x14ac:dyDescent="0.35">
      <c r="C304" t="s">
        <v>242</v>
      </c>
      <c r="I304" s="6">
        <v>1.28</v>
      </c>
    </row>
    <row r="305" spans="3:9" ht="15.5" x14ac:dyDescent="0.35">
      <c r="C305" t="s">
        <v>243</v>
      </c>
      <c r="I305" s="6">
        <v>-49.5</v>
      </c>
    </row>
    <row r="306" spans="3:9" ht="15.5" x14ac:dyDescent="0.35">
      <c r="C306" t="s">
        <v>244</v>
      </c>
      <c r="I306" s="6">
        <v>-31.22</v>
      </c>
    </row>
    <row r="307" spans="3:9" ht="15.5" x14ac:dyDescent="0.35">
      <c r="C307" t="s">
        <v>245</v>
      </c>
      <c r="I307" s="6">
        <v>5.41</v>
      </c>
    </row>
    <row r="308" spans="3:9" ht="15.5" x14ac:dyDescent="0.35">
      <c r="C308" t="s">
        <v>246</v>
      </c>
      <c r="I308" s="6">
        <v>5.0199999999999996</v>
      </c>
    </row>
    <row r="309" spans="3:9" ht="15.5" x14ac:dyDescent="0.35">
      <c r="C309" t="s">
        <v>247</v>
      </c>
      <c r="I309" s="6">
        <v>-1.34</v>
      </c>
    </row>
    <row r="310" spans="3:9" ht="15.5" x14ac:dyDescent="0.35">
      <c r="C310" t="s">
        <v>248</v>
      </c>
      <c r="I310" s="6">
        <v>2.14</v>
      </c>
    </row>
    <row r="311" spans="3:9" ht="15.5" x14ac:dyDescent="0.35">
      <c r="C311" t="s">
        <v>364</v>
      </c>
      <c r="I311" s="6">
        <v>1.52</v>
      </c>
    </row>
    <row r="312" spans="3:9" ht="15.5" x14ac:dyDescent="0.35">
      <c r="C312" t="s">
        <v>249</v>
      </c>
      <c r="I312" s="6">
        <v>386.14</v>
      </c>
    </row>
    <row r="313" spans="3:9" ht="15.5" x14ac:dyDescent="0.35">
      <c r="C313" t="s">
        <v>250</v>
      </c>
      <c r="I313" s="6">
        <v>408.89</v>
      </c>
    </row>
    <row r="314" spans="3:9" ht="15.5" x14ac:dyDescent="0.35">
      <c r="C314" t="s">
        <v>251</v>
      </c>
      <c r="I314" s="6">
        <v>1390.55</v>
      </c>
    </row>
    <row r="315" spans="3:9" ht="15.5" x14ac:dyDescent="0.35">
      <c r="C315" t="s">
        <v>252</v>
      </c>
      <c r="D315" s="6">
        <v>218.13</v>
      </c>
    </row>
    <row r="316" spans="3:9" ht="15.5" x14ac:dyDescent="0.35">
      <c r="C316" t="s">
        <v>253</v>
      </c>
      <c r="I316" s="6">
        <v>2231.5</v>
      </c>
    </row>
    <row r="317" spans="3:9" ht="15.5" x14ac:dyDescent="0.35">
      <c r="C317" t="s">
        <v>254</v>
      </c>
      <c r="I317" s="6">
        <v>-91.27</v>
      </c>
    </row>
    <row r="318" spans="3:9" ht="15.5" x14ac:dyDescent="0.35">
      <c r="C318" t="s">
        <v>257</v>
      </c>
      <c r="D318" s="6">
        <v>0.01</v>
      </c>
    </row>
    <row r="319" spans="3:9" ht="15.5" x14ac:dyDescent="0.35">
      <c r="C319" t="s">
        <v>258</v>
      </c>
      <c r="D319" s="6">
        <v>0.01</v>
      </c>
    </row>
    <row r="320" spans="3:9" ht="15.5" x14ac:dyDescent="0.35">
      <c r="C320" t="s">
        <v>259</v>
      </c>
      <c r="D320" s="6">
        <v>5.63</v>
      </c>
    </row>
    <row r="321" spans="3:9" ht="15.5" x14ac:dyDescent="0.35">
      <c r="C321" t="s">
        <v>261</v>
      </c>
      <c r="D321" s="6">
        <v>6.65</v>
      </c>
    </row>
    <row r="322" spans="3:9" ht="15.5" x14ac:dyDescent="0.35">
      <c r="C322" t="s">
        <v>11</v>
      </c>
      <c r="D322" s="5">
        <v>48988000000000</v>
      </c>
    </row>
    <row r="323" spans="3:9" ht="15.5" x14ac:dyDescent="0.35">
      <c r="C323" t="s">
        <v>263</v>
      </c>
      <c r="I323" s="6">
        <v>0.76</v>
      </c>
    </row>
    <row r="324" spans="3:9" ht="15.5" x14ac:dyDescent="0.35">
      <c r="C324" t="s">
        <v>264</v>
      </c>
      <c r="I324" s="6">
        <v>2.6000000000000002E-2</v>
      </c>
    </row>
    <row r="325" spans="3:9" ht="15.5" x14ac:dyDescent="0.35">
      <c r="C325" t="s">
        <v>265</v>
      </c>
      <c r="I325" s="6">
        <v>0.17300000000000001</v>
      </c>
    </row>
    <row r="326" spans="3:9" ht="15.5" x14ac:dyDescent="0.35">
      <c r="C326" t="s">
        <v>266</v>
      </c>
      <c r="I326" s="6">
        <v>3.4500000000000003E-2</v>
      </c>
    </row>
    <row r="327" spans="3:9" ht="15.5" x14ac:dyDescent="0.35">
      <c r="C327" t="s">
        <v>267</v>
      </c>
      <c r="I327" s="6">
        <v>0.17350000000000002</v>
      </c>
    </row>
    <row r="328" spans="3:9" ht="15.5" x14ac:dyDescent="0.35">
      <c r="C328" t="s">
        <v>273</v>
      </c>
      <c r="I328" s="6">
        <v>0.1</v>
      </c>
    </row>
    <row r="329" spans="3:9" ht="15.5" x14ac:dyDescent="0.35">
      <c r="C329" t="s">
        <v>38</v>
      </c>
      <c r="I329" s="5">
        <v>431943000000000</v>
      </c>
    </row>
    <row r="330" spans="3:9" ht="15.5" x14ac:dyDescent="0.35">
      <c r="C330" t="s">
        <v>275</v>
      </c>
      <c r="I330" s="5">
        <v>409700000000000</v>
      </c>
    </row>
    <row r="331" spans="3:9" ht="15.5" x14ac:dyDescent="0.35">
      <c r="C331" t="s">
        <v>276</v>
      </c>
      <c r="I331" s="5">
        <v>151560000000</v>
      </c>
    </row>
    <row r="332" spans="3:9" ht="15.5" x14ac:dyDescent="0.35">
      <c r="C332" t="s">
        <v>277</v>
      </c>
      <c r="I332" s="6">
        <v>0.42320000000000002</v>
      </c>
    </row>
    <row r="333" spans="3:9" ht="15.5" x14ac:dyDescent="0.35">
      <c r="C333" t="s">
        <v>278</v>
      </c>
      <c r="D333" s="6">
        <v>0.76</v>
      </c>
    </row>
    <row r="334" spans="3:9" ht="15.5" x14ac:dyDescent="0.35">
      <c r="C334" t="s">
        <v>279</v>
      </c>
      <c r="D334" s="6">
        <v>0.37959999999999999</v>
      </c>
    </row>
    <row r="335" spans="3:9" ht="15.5" x14ac:dyDescent="0.35">
      <c r="C335" t="s">
        <v>280</v>
      </c>
      <c r="D335" s="6">
        <v>0.29320000000000002</v>
      </c>
    </row>
    <row r="336" spans="3:9" ht="15.5" x14ac:dyDescent="0.35">
      <c r="C336" t="s">
        <v>281</v>
      </c>
      <c r="D336" s="6">
        <v>5.9500000000000004E-2</v>
      </c>
    </row>
    <row r="337" spans="3:9" ht="15.5" x14ac:dyDescent="0.35">
      <c r="C337" t="s">
        <v>282</v>
      </c>
      <c r="D337" s="6">
        <v>0.11900000000000001</v>
      </c>
    </row>
    <row r="338" spans="3:9" ht="15.5" x14ac:dyDescent="0.35">
      <c r="C338" t="s">
        <v>283</v>
      </c>
      <c r="D338" s="6">
        <v>0.13739999999999999</v>
      </c>
    </row>
    <row r="339" spans="3:9" ht="15.5" x14ac:dyDescent="0.35">
      <c r="C339" t="s">
        <v>284</v>
      </c>
      <c r="I339" s="5">
        <v>209</v>
      </c>
    </row>
    <row r="340" spans="3:9" ht="15.5" x14ac:dyDescent="0.35">
      <c r="C340" t="s">
        <v>285</v>
      </c>
      <c r="I340" s="5">
        <v>346</v>
      </c>
    </row>
    <row r="341" spans="3:9" ht="15.5" x14ac:dyDescent="0.35">
      <c r="C341" t="s">
        <v>286</v>
      </c>
      <c r="I341" s="6">
        <v>0.84620000000000006</v>
      </c>
    </row>
    <row r="342" spans="3:9" ht="15.5" x14ac:dyDescent="0.35">
      <c r="C342" t="s">
        <v>287</v>
      </c>
      <c r="I342" s="6">
        <v>0.12140000000000001</v>
      </c>
    </row>
    <row r="343" spans="3:9" ht="15.5" x14ac:dyDescent="0.35">
      <c r="C343" t="s">
        <v>288</v>
      </c>
      <c r="I343" t="s">
        <v>609</v>
      </c>
    </row>
    <row r="344" spans="3:9" ht="15.5" x14ac:dyDescent="0.35">
      <c r="C344" t="s">
        <v>290</v>
      </c>
      <c r="I344" s="5">
        <v>4</v>
      </c>
    </row>
    <row r="345" spans="3:9" ht="15.5" x14ac:dyDescent="0.35">
      <c r="C345" t="s">
        <v>291</v>
      </c>
      <c r="I345" s="6">
        <v>0.19</v>
      </c>
    </row>
    <row r="346" spans="3:9" ht="15.5" x14ac:dyDescent="0.35">
      <c r="C346" t="s">
        <v>292</v>
      </c>
      <c r="I346" s="5">
        <v>1</v>
      </c>
    </row>
    <row r="347" spans="3:9" ht="15.5" x14ac:dyDescent="0.35">
      <c r="C347" t="s">
        <v>293</v>
      </c>
      <c r="I347" s="6">
        <v>0.77</v>
      </c>
    </row>
    <row r="348" spans="3:9" ht="15.5" x14ac:dyDescent="0.35">
      <c r="C348" t="s">
        <v>366</v>
      </c>
      <c r="I348" s="6">
        <v>0.66</v>
      </c>
    </row>
    <row r="349" spans="3:9" ht="15.5" x14ac:dyDescent="0.35">
      <c r="C349" t="s">
        <v>294</v>
      </c>
      <c r="I349" s="6">
        <v>0.39</v>
      </c>
    </row>
    <row r="350" spans="3:9" ht="15.5" x14ac:dyDescent="0.35">
      <c r="C350" t="s">
        <v>295</v>
      </c>
      <c r="I350" s="6">
        <v>0.46</v>
      </c>
    </row>
    <row r="351" spans="3:9" ht="15.5" x14ac:dyDescent="0.35">
      <c r="C351" t="s">
        <v>296</v>
      </c>
      <c r="I351" s="6">
        <v>0.69</v>
      </c>
    </row>
    <row r="352" spans="3:9" ht="15.5" x14ac:dyDescent="0.35">
      <c r="C352" t="s">
        <v>297</v>
      </c>
      <c r="I352" s="5">
        <v>210751000000000</v>
      </c>
    </row>
    <row r="353" spans="3:9" ht="15.5" x14ac:dyDescent="0.35">
      <c r="C353" t="s">
        <v>298</v>
      </c>
      <c r="I353" s="5">
        <v>154769000000000</v>
      </c>
    </row>
    <row r="354" spans="3:9" ht="15.5" x14ac:dyDescent="0.35">
      <c r="C354" t="s">
        <v>299</v>
      </c>
      <c r="I354" s="5">
        <v>81612000000000</v>
      </c>
    </row>
    <row r="355" spans="3:9" ht="15.5" x14ac:dyDescent="0.35">
      <c r="C355" t="s">
        <v>300</v>
      </c>
      <c r="I355" s="5">
        <v>58524000000000</v>
      </c>
    </row>
    <row r="356" spans="3:9" ht="15.5" x14ac:dyDescent="0.35">
      <c r="C356" t="s">
        <v>301</v>
      </c>
      <c r="D356" s="5">
        <v>33059000000000</v>
      </c>
    </row>
    <row r="357" spans="3:9" ht="15.5" x14ac:dyDescent="0.35">
      <c r="C357" t="s">
        <v>302</v>
      </c>
      <c r="D357" s="5">
        <v>2249834000000000</v>
      </c>
    </row>
    <row r="358" spans="3:9" ht="15.5" x14ac:dyDescent="0.35">
      <c r="C358" t="s">
        <v>303</v>
      </c>
      <c r="D358" s="5">
        <v>1904772000000000</v>
      </c>
    </row>
    <row r="359" spans="3:9" ht="15.5" x14ac:dyDescent="0.35">
      <c r="C359" t="s">
        <v>207</v>
      </c>
      <c r="I359" s="5">
        <v>338204000000000</v>
      </c>
    </row>
    <row r="360" spans="3:9" ht="15.5" x14ac:dyDescent="0.35">
      <c r="C360" t="s">
        <v>304</v>
      </c>
      <c r="I360" s="5">
        <v>345062000000000</v>
      </c>
    </row>
    <row r="361" spans="3:9" ht="15.5" x14ac:dyDescent="0.35">
      <c r="C361" t="s">
        <v>305</v>
      </c>
      <c r="I361" s="5">
        <v>-8727000000000</v>
      </c>
    </row>
    <row r="362" spans="3:9" ht="15.5" x14ac:dyDescent="0.35">
      <c r="C362" t="s">
        <v>306</v>
      </c>
      <c r="I362" s="5">
        <v>-55270000000000</v>
      </c>
    </row>
    <row r="363" spans="3:9" ht="15.5" x14ac:dyDescent="0.35">
      <c r="C363" t="s">
        <v>307</v>
      </c>
      <c r="I363" s="5">
        <v>-13447000000000</v>
      </c>
    </row>
    <row r="364" spans="3:9" ht="15.5" x14ac:dyDescent="0.35">
      <c r="C364" t="s">
        <v>308</v>
      </c>
      <c r="I364" s="5">
        <v>-5107000000000</v>
      </c>
    </row>
    <row r="365" spans="3:9" ht="15.5" x14ac:dyDescent="0.35">
      <c r="C365" t="s">
        <v>309</v>
      </c>
      <c r="I365" s="5">
        <v>-13834000000000</v>
      </c>
    </row>
  </sheetData>
  <pageMargins left="0.7" right="0.7" top="0.75" bottom="0.75" header="0.3" footer="0.3"/>
  <ignoredErrors>
    <ignoredError sqref="A1:Z1 A3:Z366 A2:B2 D2:Z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5</vt:i4>
      </vt:variant>
    </vt:vector>
  </HeadingPairs>
  <TitlesOfParts>
    <vt:vector size="5" baseType="lpstr">
      <vt:lpstr>AADI</vt:lpstr>
      <vt:lpstr>AALI</vt:lpstr>
      <vt:lpstr>ANTM</vt:lpstr>
      <vt:lpstr>BBCA</vt:lpstr>
      <vt:lpstr>BBRI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MOCHAMMAD CHAMDANI</cp:lastModifiedBy>
  <dcterms:modified xsi:type="dcterms:W3CDTF">2026-06-15T08:42:33Z</dcterms:modified>
</cp:coreProperties>
</file>